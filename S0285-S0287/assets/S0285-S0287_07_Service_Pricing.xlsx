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GASCOLAE\Service3\"/>
    </mc:Choice>
  </mc:AlternateContent>
  <xr:revisionPtr revIDLastSave="0" documentId="13_ncr:1_{210A2DBB-7D53-4DB9-8A0B-CE9F63D8871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01_PRICE_LIST" sheetId="1" r:id="rId1"/>
    <sheet name="02_PACKAGE_TERMS" sheetId="2" r:id="rId2"/>
    <sheet name="03_QUOTE_CHECK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0" i="3" l="1"/>
  <c r="B13" i="3" s="1"/>
</calcChain>
</file>

<file path=xl/sharedStrings.xml><?xml version="1.0" encoding="utf-8"?>
<sst xmlns="http://schemas.openxmlformats.org/spreadsheetml/2006/main" count="185" uniqueCount="143">
  <si>
    <t>07_SERVICE PRICING — EXAMPLE SOLAR</t>
  </si>
  <si>
    <t>Thông tin</t>
  </si>
  <si>
    <t>Nội dung</t>
  </si>
  <si>
    <t>QUY TẮC</t>
  </si>
  <si>
    <t>NỘI DUNG</t>
  </si>
  <si>
    <t>TRẠNG THÁI</t>
  </si>
  <si>
    <t>Service ID</t>
  </si>
  <si>
    <t>Nguồn giá</t>
  </si>
  <si>
    <t>Tên dịch vụ</t>
  </si>
  <si>
    <t>Giá tham khảo khác</t>
  </si>
  <si>
    <t>Không coi là giá GASCOLAE nếu chưa phê duyệt.</t>
  </si>
  <si>
    <t>Cần phân biệt</t>
  </si>
  <si>
    <t>Đơn vị tính giá</t>
  </si>
  <si>
    <t>Giá cuối</t>
  </si>
  <si>
    <t>Sales/Finance xác nhận trước khi dùng.</t>
  </si>
  <si>
    <t>Cần phê duyệt</t>
  </si>
  <si>
    <t>Pricing Owner</t>
  </si>
  <si>
    <t>A. BẢNG GIÁ VIỆT NAM</t>
  </si>
  <si>
    <t>Quy mô Nhà máy</t>
  </si>
  <si>
    <t>LEVEL 1 – Visual RGB Only</t>
  </si>
  <si>
    <t>LEVEL 2 – Thermal + AI</t>
  </si>
  <si>
    <t>Đơn vị</t>
  </si>
  <si>
    <t>Nguồn</t>
  </si>
  <si>
    <t>B. BẢNG GIÁ QUỐC TẾ</t>
  </si>
  <si>
    <t>LEVEL 3 – Digital Twin &amp; Tối ưu Sản lượng</t>
  </si>
  <si>
    <t>02_PACKAGE &amp; COMMERCIAL TERMS — EXAMPLE SOLAR</t>
  </si>
  <si>
    <t>A. SERVICE LEVEL / PACKAGE</t>
  </si>
  <si>
    <t>Level / Package</t>
  </si>
  <si>
    <t>Định vị / Scope chính</t>
  </si>
  <si>
    <t>Deliverables chính</t>
  </si>
  <si>
    <t>Điểm cần xác minh</t>
  </si>
  <si>
    <t>LEVEL 1</t>
  </si>
  <si>
    <t>LEVEL 2</t>
  </si>
  <si>
    <t>LEVEL 3</t>
  </si>
  <si>
    <t>B. COMMERCIAL TERMS / ADD-ON</t>
  </si>
  <si>
    <t>Hạng mục</t>
  </si>
  <si>
    <t>Nội dung trong tài liệu Solar</t>
  </si>
  <si>
    <t>Giá / Cách tính</t>
  </si>
  <si>
    <t>Trạng thái</t>
  </si>
  <si>
    <t>Giá tham khảo trong nguồn</t>
  </si>
  <si>
    <t>Weather Standby</t>
  </si>
  <si>
    <t>[CẦN XÁC MINH] VNĐ/ngày</t>
  </si>
  <si>
    <t>Input / Output</t>
  </si>
  <si>
    <t>Giá trị</t>
  </si>
  <si>
    <t>Ghi chú</t>
  </si>
  <si>
    <t>Thị trường</t>
  </si>
  <si>
    <t>Việt Nam</t>
  </si>
  <si>
    <t>Theo Bảng 2.1</t>
  </si>
  <si>
    <t>Quy mô dự án</t>
  </si>
  <si>
    <t>MW</t>
  </si>
  <si>
    <t>Ví dụ trong file Solar hiện có</t>
  </si>
  <si>
    <t>Ví dụ</t>
  </si>
  <si>
    <t>Đơn giá áp dụng</t>
  </si>
  <si>
    <t>VNĐ / MW</t>
  </si>
  <si>
    <t>Số lượng tính phí</t>
  </si>
  <si>
    <t>Theo capacity</t>
  </si>
  <si>
    <t>GIÁ DỊCH VỤ CƠ BẢN</t>
  </si>
  <si>
    <t>VNĐ</t>
  </si>
  <si>
    <t>Đơn giá × Capacity</t>
  </si>
  <si>
    <t>Add-on / Phụ phí</t>
  </si>
  <si>
    <t>Chỉ nhập khi có nguồn/phê duyệt</t>
  </si>
  <si>
    <t>Giảm giá</t>
  </si>
  <si>
    <t>Chỉ nhập theo chính sách được duyệt</t>
  </si>
  <si>
    <t>TỔNG GIÁ TRỊ DỰ KIẾN</t>
  </si>
  <si>
    <t>Chưa gồm thuế/chi phí khác nếu tài liệu không quy định</t>
  </si>
  <si>
    <t>CHECKLIST TRƯỚC KHI NỘP</t>
  </si>
  <si>
    <t>STT</t>
  </si>
  <si>
    <t>Tiêu chí</t>
  </si>
  <si>
    <t>Kết quả</t>
  </si>
  <si>
    <t>Giá có nguồn/traceability</t>
  </si>
  <si>
    <t>☑ Đạt</t>
  </si>
  <si>
    <t>Level/Package thống nhất với Sales Kit/Proposal</t>
  </si>
  <si>
    <t>Level 1/2/3</t>
  </si>
  <si>
    <t>Scope/Deliverables thống nhất Group 1</t>
  </si>
  <si>
    <t>Giữ điểm chưa xác minh</t>
  </si>
  <si>
    <t>Đang để 0 hoặc CẦN XÁC MINH</t>
  </si>
  <si>
    <t>Giá cuối được Sales/Finance xác nhận</t>
  </si>
  <si>
    <t>☐ Chưa đạt</t>
  </si>
  <si>
    <t>Cần phê duyệt trước khi dùng thực tế</t>
  </si>
  <si>
    <t>Trưởng dự án</t>
  </si>
  <si>
    <t>Discount/Add-on</t>
  </si>
  <si>
    <t>VNĐ/ha hoặc USD/ha</t>
  </si>
  <si>
    <t>S0285-S0287</t>
  </si>
  <si>
    <t>Đánh giá và lập bản đồ hấp thụ carbon trong sinh khối rừng</t>
  </si>
  <si>
    <t>Tổng hợp phí bay cơ sở + phụ phí LiDAR/Đa phổ + phí xử lý dữ liệu.</t>
  </si>
  <si>
    <t>LEVEL 1 – Bản đồ Các-bon nền</t>
  </si>
  <si>
    <t>LEVEL 3 – Giám sát đa kỳ</t>
  </si>
  <si>
    <t xml:space="preserve">LEVEL 2 – Tách cây đơn lẻ </t>
  </si>
  <si>
    <t>VNĐ / 01 ha</t>
  </si>
  <si>
    <t>Quy mô (&lt; 20 ha)</t>
  </si>
  <si>
    <t>Quy mô (50 - 100 ha)</t>
  </si>
  <si>
    <t>Quy mô  (20 - 49 ha)</t>
  </si>
  <si>
    <t>Quy mô (101 - 500 ha)</t>
  </si>
  <si>
    <t>Quy mô (&gt;501 ha)</t>
  </si>
  <si>
    <t>14.000.000</t>
  </si>
  <si>
    <t>16.800.000</t>
  </si>
  <si>
    <t>20.400.000</t>
  </si>
  <si>
    <t>Dựa trên Giá cơ sở: 5.000.000
L1: Nhân hệ số LiDAR + 30% phí xử lý.
L2: Thêm đa phổ + 45% xử lý.
L3: Cộng thêm phí phân tích đa kỳ.</t>
  </si>
  <si>
    <t>Dựa trên Giá cơ sở: 375k/ha.
L1: Nhân hệ số LiDAR + 30% phí xử lý.
L2: Thêm đa phổ + 45% xử lý.
L3: Cộng thêm phí phân tích đa kỳ.</t>
  </si>
  <si>
    <t>Dựa trên Giá cơ sở: 300k/ha.
L1: Nhân hệ số LiDAR + 30% phí xử lý.
L2: Thêm đa phổ + 45% xử lý.
L3: Cộng thêm phí phân tích đa kỳ.</t>
  </si>
  <si>
    <t>Dựa trên Giá cơ sở: 250k/ha.
L1: Nhân hệ số LiDAR + 30% phí xử lý.
L2: Thêm đa phổ + 45% xử lý.
L3: Cộng thêm phí phân tích đa kỳ.</t>
  </si>
  <si>
    <t>Dựa trên Giá cơ sở: 160k/ha.
L1: Nhân hệ số LiDAR + 30% phí xử lý.
L2: Thêm đa phổ + 45% xử lý.
L3: Cộng thêm phí phân tích đa kỳ.</t>
  </si>
  <si>
    <t>USD / Gói</t>
  </si>
  <si>
    <t>Quy đổi từ VNĐ (Tỷ giá 26.200)</t>
  </si>
  <si>
    <t>USD / 01 ha</t>
  </si>
  <si>
    <t>Quy đổi từ VNĐ</t>
  </si>
  <si>
    <t>VNĐ / gói</t>
  </si>
  <si>
    <t>khung đơn giá tham chiếu dịch vụ đo đạc &amp; lập bản đồ trữ lượng, hấp thụ carbon rừng bằng uav lidar (Cần xác minh)</t>
  </si>
  <si>
    <t>Bản đồ các-bon nền (1 kỳ bay). Khảo sát bằng LiDAR + RGB.</t>
  </si>
  <si>
    <t>Đám mây điểm; DTM/DSM/CHM; Bản đồ trữ lượng các-bon theo lô (tấn C/ha, tCO₂e/ha).</t>
  </si>
  <si>
    <t>Mục IV, Khung đơn giá tham chiếu</t>
  </si>
  <si>
    <t>Số ô ground-truth trên 1.000 ha; Sai số công bố (RMSE).</t>
  </si>
  <si>
    <t>Bản đồ chi tiết theo cây đơn lẻ (1 kỳ bay). Bổ sung cảm biến đa phổ, tách cây đơn lẻ, phân tầng loài.</t>
  </si>
  <si>
    <t>Toàn bộ L1 + Lớp cây đơn lẻ (vị trí, chiều cao, tán); Bản đồ sinh khối &amp; các-bon chi tiết.</t>
  </si>
  <si>
    <t>Giám sát hấp thụ đa kỳ. Bay lặp theo chu kỳ ≥ 2 – 3 năm.</t>
  </si>
  <si>
    <t>Toàn bộ L2 + Bản đồ biến động trữ lượng; Tốc độ hấp thụ (tCO₂e/ha/năm); Dashboard GIS.</t>
  </si>
  <si>
    <t>Đo ô tiêu chuẩn mặt đất</t>
  </si>
  <si>
    <t>Lập và đo ô tiêu chuẩn hiệu chuẩn mô hình (Rừng tự nhiên 1.000m² / Rừng trồng 500m²)</t>
  </si>
  <si>
    <t>2.250.000 VNĐ/ô (Tự nhiên) – 1.150.000 VNĐ/ô (Rừng trồng)</t>
  </si>
  <si>
    <t>Mục II (Phần C), Khung đơn giá tham chiếu</t>
  </si>
  <si>
    <t>Pháp lý &amp; xin phép bay</t>
  </si>
  <si>
    <t>Xin cấp phép bay theo đợt lẻ hoặc theo gói 3 tháng</t>
  </si>
  <si>
    <t>2.750.000 VNĐ/đợt hoặc 7.500.000 VNĐ/gói</t>
  </si>
  <si>
    <t>Mục II (Phần E), Khung đơn giá tham chiếu</t>
  </si>
  <si>
    <t>Cần Legal xác nhận lại theo thủ tục từng tỉnh</t>
  </si>
  <si>
    <t>Phụ phí địa hình</t>
  </si>
  <si>
    <t>Áp dụng cho địa hình chia cắt hoặc độ dốc lớn</t>
  </si>
  <si>
    <t>+ 10% – 25% (Cộng vào phí bay)</t>
  </si>
  <si>
    <t>Ghi chú Mục II, Khung đơn giá tham chiếu</t>
  </si>
  <si>
    <t>Thuê bao giám sát đa kỳ</t>
  </si>
  <si>
    <t>Phí thuê bao giám sát các-bon rừng tính theo năm</t>
  </si>
  <si>
    <t>145.000 VNĐ/ha/năm</t>
  </si>
  <si>
    <t>Mục II (Phần F), Khung đơn giá tham chiếu</t>
  </si>
  <si>
    <t>Mức trần tham chiếu quốc tế</t>
  </si>
  <si>
    <t>Phí chờ thời tiết tại hiện trường khi không thể cất cánh</t>
  </si>
  <si>
    <t>Chưa có giá cụ thể</t>
  </si>
  <si>
    <t>Hosting lớp GIS/Dashboard</t>
  </si>
  <si>
    <t>Phí lưu trữ và duy trì Dashboard trực tuyến</t>
  </si>
  <si>
    <t>[CẦN XÁC MINH] VNĐ/năm</t>
  </si>
  <si>
    <t>ha</t>
  </si>
  <si>
    <t>khung đơn giá tham chiếu</t>
  </si>
  <si>
    <t>sheet 1: &gt;100 ha, Level 2</t>
  </si>
  <si>
    <t>03_QUOTE CALCULATOR &amp; 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</si>
</sst>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70" formatCode="_(* #,##0_);_(* \(#,##0\);_(* &quot;-&quot;??_);_(@_)"/>
  </numFmts>
  <fonts count="8">
    <font>
      <sz val="11"/>
      <name val="Carlito"/>
    </font>
    <font>
      <b/>
      <sz val="14"/>
      <color rgb="FFFFFFFF"/>
      <name val="Carlito"/>
    </font>
    <font>
      <i/>
      <sz val="11"/>
      <color rgb="FF6B7280"/>
      <name val="Carlito"/>
    </font>
    <font>
      <b/>
      <sz val="11"/>
      <color rgb="FFFFFFFF"/>
      <name val="Carlito"/>
    </font>
    <font>
      <b/>
      <sz val="11"/>
      <color rgb="FF0F4C6E"/>
      <name val="Carlito"/>
    </font>
    <font>
      <sz val="11"/>
      <name val="Carlito"/>
    </font>
    <font>
      <b/>
      <sz val="11"/>
      <name val="Carlito"/>
    </font>
    <font>
      <sz val="11"/>
      <color rgb="FF1F1F1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F4C6E"/>
      </patternFill>
    </fill>
    <fill>
      <patternFill patternType="solid">
        <fgColor rgb="FF1F5F86"/>
      </patternFill>
    </fill>
    <fill>
      <patternFill patternType="solid">
        <fgColor rgb="FFDCEAF4"/>
      </patternFill>
    </fill>
    <fill>
      <patternFill patternType="solid">
        <fgColor rgb="FFEAF4F8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33">
    <xf numFmtId="0" fontId="0" fillId="0" borderId="0" xfId="0"/>
    <xf numFmtId="0" fontId="3" fillId="3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0" fillId="0" borderId="6" xfId="0" applyBorder="1" applyAlignment="1">
      <alignment vertical="top" wrapText="1"/>
    </xf>
    <xf numFmtId="0" fontId="0" fillId="0" borderId="7" xfId="0" applyBorder="1" applyAlignment="1">
      <alignment vertical="top" wrapText="1"/>
    </xf>
    <xf numFmtId="0" fontId="0" fillId="0" borderId="8" xfId="0" applyBorder="1" applyAlignment="1">
      <alignment vertical="top" wrapText="1"/>
    </xf>
    <xf numFmtId="0" fontId="0" fillId="0" borderId="9" xfId="0" applyBorder="1" applyAlignment="1">
      <alignment vertical="top" wrapText="1"/>
    </xf>
    <xf numFmtId="3" fontId="0" fillId="0" borderId="7" xfId="0" applyNumberFormat="1" applyBorder="1" applyAlignment="1">
      <alignment vertical="top" wrapText="1"/>
    </xf>
    <xf numFmtId="3" fontId="0" fillId="0" borderId="0" xfId="0" applyNumberFormat="1" applyAlignment="1">
      <alignment vertical="top" wrapText="1"/>
    </xf>
    <xf numFmtId="3" fontId="0" fillId="0" borderId="8" xfId="0" applyNumberFormat="1" applyBorder="1" applyAlignment="1">
      <alignment vertical="top" wrapText="1"/>
    </xf>
    <xf numFmtId="0" fontId="0" fillId="5" borderId="3" xfId="0" applyFill="1" applyBorder="1" applyAlignment="1">
      <alignment vertical="top" wrapText="1"/>
    </xf>
    <xf numFmtId="3" fontId="0" fillId="5" borderId="0" xfId="0" applyNumberFormat="1" applyFill="1" applyAlignment="1">
      <alignment vertical="top" wrapText="1"/>
    </xf>
    <xf numFmtId="0" fontId="0" fillId="5" borderId="0" xfId="0" applyFill="1" applyAlignment="1">
      <alignment vertical="top" wrapText="1"/>
    </xf>
    <xf numFmtId="0" fontId="0" fillId="5" borderId="4" xfId="0" applyFill="1" applyBorder="1" applyAlignment="1">
      <alignment vertical="top" wrapText="1"/>
    </xf>
    <xf numFmtId="0" fontId="4" fillId="4" borderId="5" xfId="0" applyFont="1" applyFill="1" applyBorder="1" applyAlignment="1">
      <alignment vertical="top" wrapText="1"/>
    </xf>
    <xf numFmtId="3" fontId="4" fillId="4" borderId="8" xfId="0" applyNumberFormat="1" applyFont="1" applyFill="1" applyBorder="1" applyAlignment="1">
      <alignment vertical="top" wrapText="1"/>
    </xf>
    <xf numFmtId="0" fontId="4" fillId="4" borderId="8" xfId="0" applyFont="1" applyFill="1" applyBorder="1" applyAlignment="1">
      <alignment vertical="top" wrapText="1"/>
    </xf>
    <xf numFmtId="0" fontId="4" fillId="4" borderId="6" xfId="0" applyFont="1" applyFill="1" applyBorder="1" applyAlignment="1">
      <alignment vertical="top" wrapText="1"/>
    </xf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wrapText="1"/>
    </xf>
    <xf numFmtId="0" fontId="4" fillId="4" borderId="0" xfId="0" applyFont="1" applyFill="1" applyAlignment="1">
      <alignment vertical="center"/>
    </xf>
    <xf numFmtId="0" fontId="2" fillId="0" borderId="0" xfId="0" applyFont="1"/>
    <xf numFmtId="3" fontId="0" fillId="0" borderId="9" xfId="0" applyNumberFormat="1" applyFill="1" applyBorder="1" applyAlignment="1">
      <alignment vertical="top" wrapText="1"/>
    </xf>
    <xf numFmtId="0" fontId="6" fillId="0" borderId="0" xfId="0" applyFont="1"/>
    <xf numFmtId="0" fontId="7" fillId="0" borderId="10" xfId="0" applyFont="1" applyBorder="1" applyAlignment="1">
      <alignment horizontal="left" vertical="center" wrapText="1" indent="1"/>
    </xf>
    <xf numFmtId="170" fontId="0" fillId="0" borderId="0" xfId="1" applyNumberFormat="1" applyFont="1" applyAlignment="1">
      <alignment horizontal="left" vertical="top"/>
    </xf>
    <xf numFmtId="0" fontId="6" fillId="0" borderId="9" xfId="0" applyFont="1" applyFill="1" applyBorder="1" applyAlignment="1">
      <alignment horizontal="left" vertical="top" wrapText="1"/>
    </xf>
    <xf numFmtId="0" fontId="0" fillId="0" borderId="9" xfId="0" applyFill="1" applyBorder="1" applyAlignment="1">
      <alignment horizontal="left" vertical="top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"/>
  <sheetViews>
    <sheetView tabSelected="1" topLeftCell="A13" workbookViewId="0">
      <selection activeCell="I5" sqref="I5"/>
    </sheetView>
  </sheetViews>
  <sheetFormatPr defaultRowHeight="13.8"/>
  <cols>
    <col min="1" max="1" width="27" customWidth="1"/>
    <col min="2" max="3" width="22" customWidth="1"/>
    <col min="4" max="4" width="30" customWidth="1"/>
    <col min="5" max="5" width="18" customWidth="1"/>
    <col min="6" max="6" width="21.09765625" customWidth="1"/>
  </cols>
  <sheetData>
    <row r="1" spans="1:7" ht="22.35" customHeight="1">
      <c r="A1" s="23" t="s">
        <v>0</v>
      </c>
      <c r="B1" s="23"/>
      <c r="C1" s="23"/>
      <c r="D1" s="23"/>
      <c r="E1" s="23"/>
      <c r="F1" s="23"/>
    </row>
    <row r="2" spans="1:7" ht="14.4">
      <c r="A2" s="24"/>
      <c r="B2" s="24"/>
      <c r="C2" s="24"/>
      <c r="D2" s="24"/>
      <c r="E2" s="24"/>
      <c r="F2" s="24"/>
    </row>
    <row r="4" spans="1:7" ht="24" customHeight="1">
      <c r="A4" s="1" t="s">
        <v>1</v>
      </c>
      <c r="B4" s="1" t="s">
        <v>2</v>
      </c>
      <c r="D4" s="1" t="s">
        <v>3</v>
      </c>
      <c r="E4" s="1" t="s">
        <v>4</v>
      </c>
      <c r="F4" s="1" t="s">
        <v>5</v>
      </c>
    </row>
    <row r="5" spans="1:7" ht="55.2">
      <c r="A5" s="3" t="s">
        <v>6</v>
      </c>
      <c r="B5" s="4" t="s">
        <v>82</v>
      </c>
      <c r="D5" s="3" t="s">
        <v>7</v>
      </c>
      <c r="E5" s="9" t="s">
        <v>84</v>
      </c>
      <c r="F5" s="6" t="s">
        <v>11</v>
      </c>
    </row>
    <row r="6" spans="1:7" ht="41.4">
      <c r="A6" s="5" t="s">
        <v>8</v>
      </c>
      <c r="B6" s="6" t="s">
        <v>83</v>
      </c>
      <c r="D6" s="5" t="s">
        <v>9</v>
      </c>
      <c r="E6" s="2" t="s">
        <v>10</v>
      </c>
      <c r="F6" s="6" t="s">
        <v>11</v>
      </c>
    </row>
    <row r="7" spans="1:7" ht="27.6">
      <c r="A7" s="5" t="s">
        <v>12</v>
      </c>
      <c r="B7" s="6" t="s">
        <v>81</v>
      </c>
      <c r="D7" s="7" t="s">
        <v>13</v>
      </c>
      <c r="E7" s="10" t="s">
        <v>14</v>
      </c>
      <c r="F7" s="8" t="s">
        <v>15</v>
      </c>
    </row>
    <row r="8" spans="1:7">
      <c r="A8" s="7" t="s">
        <v>16</v>
      </c>
      <c r="B8" s="11" t="s">
        <v>79</v>
      </c>
    </row>
    <row r="10" spans="1:7">
      <c r="A10" s="25" t="s">
        <v>17</v>
      </c>
      <c r="B10" s="25"/>
      <c r="C10" s="25"/>
      <c r="D10" s="25"/>
      <c r="E10" s="25"/>
      <c r="F10" s="25"/>
    </row>
    <row r="11" spans="1:7" ht="24" customHeight="1">
      <c r="A11" s="1" t="s">
        <v>18</v>
      </c>
      <c r="B11" s="1" t="s">
        <v>85</v>
      </c>
      <c r="C11" s="1" t="s">
        <v>87</v>
      </c>
      <c r="D11" s="1" t="s">
        <v>86</v>
      </c>
      <c r="E11" s="1" t="s">
        <v>21</v>
      </c>
      <c r="F11" s="1" t="s">
        <v>44</v>
      </c>
      <c r="G11" s="1" t="s">
        <v>22</v>
      </c>
    </row>
    <row r="12" spans="1:7" ht="207">
      <c r="A12" s="3" t="s">
        <v>89</v>
      </c>
      <c r="B12" s="12" t="s">
        <v>94</v>
      </c>
      <c r="C12" s="12" t="s">
        <v>95</v>
      </c>
      <c r="D12" s="12" t="s">
        <v>96</v>
      </c>
      <c r="E12" s="9" t="s">
        <v>106</v>
      </c>
      <c r="F12" s="11" t="s">
        <v>97</v>
      </c>
      <c r="G12" s="4" t="s">
        <v>107</v>
      </c>
    </row>
    <row r="13" spans="1:7" ht="207">
      <c r="A13" s="5" t="s">
        <v>91</v>
      </c>
      <c r="B13" s="13">
        <v>1050000</v>
      </c>
      <c r="C13" s="13">
        <v>1260000</v>
      </c>
      <c r="D13" s="13">
        <v>1530000</v>
      </c>
      <c r="E13" s="9" t="s">
        <v>88</v>
      </c>
      <c r="F13" s="11" t="s">
        <v>98</v>
      </c>
      <c r="G13" s="4" t="s">
        <v>107</v>
      </c>
    </row>
    <row r="14" spans="1:7" ht="207">
      <c r="A14" s="5" t="s">
        <v>90</v>
      </c>
      <c r="B14" s="13">
        <v>840000</v>
      </c>
      <c r="C14" s="13">
        <v>1008000</v>
      </c>
      <c r="D14" s="13">
        <v>1224000</v>
      </c>
      <c r="E14" s="9" t="s">
        <v>88</v>
      </c>
      <c r="F14" s="11" t="s">
        <v>99</v>
      </c>
      <c r="G14" s="4" t="s">
        <v>107</v>
      </c>
    </row>
    <row r="15" spans="1:7" ht="207">
      <c r="A15" s="7" t="s">
        <v>92</v>
      </c>
      <c r="B15" s="14">
        <v>700000</v>
      </c>
      <c r="C15" s="14">
        <v>840000</v>
      </c>
      <c r="D15" s="14">
        <v>1020000</v>
      </c>
      <c r="E15" s="9" t="s">
        <v>88</v>
      </c>
      <c r="F15" s="11" t="s">
        <v>100</v>
      </c>
      <c r="G15" s="4" t="s">
        <v>107</v>
      </c>
    </row>
    <row r="16" spans="1:7" ht="207">
      <c r="A16" s="7" t="s">
        <v>93</v>
      </c>
      <c r="B16" s="27">
        <v>448000</v>
      </c>
      <c r="C16" s="27">
        <v>537600</v>
      </c>
      <c r="D16" s="30">
        <v>652800</v>
      </c>
      <c r="E16" s="9" t="s">
        <v>88</v>
      </c>
      <c r="F16" s="11" t="s">
        <v>101</v>
      </c>
      <c r="G16" s="4" t="s">
        <v>107</v>
      </c>
    </row>
    <row r="18" spans="1:6">
      <c r="A18" s="25" t="s">
        <v>23</v>
      </c>
      <c r="B18" s="25"/>
      <c r="C18" s="25"/>
      <c r="D18" s="25"/>
      <c r="E18" s="25"/>
      <c r="F18" s="25"/>
    </row>
    <row r="19" spans="1:6" ht="24" customHeight="1">
      <c r="A19" s="1" t="s">
        <v>18</v>
      </c>
      <c r="B19" s="1" t="s">
        <v>19</v>
      </c>
      <c r="C19" s="1" t="s">
        <v>20</v>
      </c>
      <c r="D19" s="1" t="s">
        <v>24</v>
      </c>
      <c r="E19" s="1" t="s">
        <v>21</v>
      </c>
      <c r="F19" s="1" t="s">
        <v>22</v>
      </c>
    </row>
    <row r="20" spans="1:6" ht="27.6">
      <c r="A20" s="3" t="s">
        <v>89</v>
      </c>
      <c r="B20" s="29">
        <v>534</v>
      </c>
      <c r="C20" s="29">
        <v>641</v>
      </c>
      <c r="D20" s="29">
        <v>779</v>
      </c>
      <c r="E20" s="29" t="s">
        <v>102</v>
      </c>
      <c r="F20" s="29" t="s">
        <v>103</v>
      </c>
    </row>
    <row r="21" spans="1:6">
      <c r="A21" s="5" t="s">
        <v>91</v>
      </c>
      <c r="B21" s="29">
        <v>40</v>
      </c>
      <c r="C21" s="29">
        <v>48</v>
      </c>
      <c r="D21" s="29">
        <v>58</v>
      </c>
      <c r="E21" s="29" t="s">
        <v>104</v>
      </c>
      <c r="F21" s="29" t="s">
        <v>105</v>
      </c>
    </row>
    <row r="22" spans="1:6">
      <c r="A22" s="5" t="s">
        <v>90</v>
      </c>
      <c r="B22" s="29">
        <v>32</v>
      </c>
      <c r="C22" s="29">
        <v>38</v>
      </c>
      <c r="D22" s="29">
        <v>47</v>
      </c>
      <c r="E22" s="29" t="s">
        <v>104</v>
      </c>
      <c r="F22" s="29" t="s">
        <v>105</v>
      </c>
    </row>
    <row r="23" spans="1:6">
      <c r="A23" s="7" t="s">
        <v>92</v>
      </c>
      <c r="B23" s="29">
        <v>27</v>
      </c>
      <c r="C23" s="29">
        <v>32</v>
      </c>
      <c r="D23" s="29">
        <v>39</v>
      </c>
      <c r="E23" s="29" t="s">
        <v>104</v>
      </c>
      <c r="F23" s="29" t="s">
        <v>105</v>
      </c>
    </row>
    <row r="24" spans="1:6">
      <c r="A24" s="7" t="s">
        <v>93</v>
      </c>
      <c r="B24" s="29">
        <v>17</v>
      </c>
      <c r="C24" s="29">
        <v>21</v>
      </c>
      <c r="D24" s="29">
        <v>25</v>
      </c>
      <c r="E24" s="29" t="s">
        <v>104</v>
      </c>
    </row>
    <row r="27" spans="1:6" ht="18" customHeight="1">
      <c r="A27" s="28"/>
      <c r="B27" s="28"/>
      <c r="C27" s="28"/>
      <c r="D27" s="28"/>
      <c r="E27" s="28"/>
      <c r="F27" s="28"/>
    </row>
    <row r="28" spans="1:6">
      <c r="A28" s="31"/>
      <c r="B28" s="32"/>
      <c r="C28" s="32"/>
      <c r="D28" s="32"/>
      <c r="E28" s="32"/>
      <c r="F28" s="32"/>
    </row>
    <row r="29" spans="1:6">
      <c r="A29" s="28"/>
    </row>
    <row r="31" spans="1:6">
      <c r="A31" s="28"/>
    </row>
  </sheetData>
  <mergeCells count="4">
    <mergeCell ref="A1:F1"/>
    <mergeCell ref="A2:F2"/>
    <mergeCell ref="A10:F10"/>
    <mergeCell ref="A18:F1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7"/>
  <sheetViews>
    <sheetView topLeftCell="A6" workbookViewId="0">
      <selection activeCell="B13" sqref="B13"/>
    </sheetView>
  </sheetViews>
  <sheetFormatPr defaultRowHeight="13.8"/>
  <cols>
    <col min="1" max="1" width="22" customWidth="1"/>
    <col min="2" max="2" width="34" customWidth="1"/>
    <col min="3" max="3" width="28" customWidth="1"/>
    <col min="4" max="4" width="26" customWidth="1"/>
    <col min="5" max="5" width="28" customWidth="1"/>
  </cols>
  <sheetData>
    <row r="1" spans="1:5" ht="22.35" customHeight="1">
      <c r="A1" s="23" t="s">
        <v>25</v>
      </c>
      <c r="B1" s="23"/>
      <c r="C1" s="23"/>
      <c r="D1" s="23"/>
      <c r="E1" s="23"/>
    </row>
    <row r="2" spans="1:5" ht="14.4">
      <c r="A2" s="26"/>
      <c r="B2" s="26"/>
      <c r="C2" s="26"/>
      <c r="D2" s="26"/>
      <c r="E2" s="26"/>
    </row>
    <row r="4" spans="1:5">
      <c r="A4" s="25" t="s">
        <v>26</v>
      </c>
      <c r="B4" s="25"/>
      <c r="C4" s="25"/>
      <c r="D4" s="25"/>
      <c r="E4" s="25"/>
    </row>
    <row r="5" spans="1:5" ht="24" customHeight="1">
      <c r="A5" s="1" t="s">
        <v>27</v>
      </c>
      <c r="B5" s="1" t="s">
        <v>28</v>
      </c>
      <c r="C5" s="1" t="s">
        <v>29</v>
      </c>
      <c r="D5" s="1" t="s">
        <v>22</v>
      </c>
      <c r="E5" s="1" t="s">
        <v>30</v>
      </c>
    </row>
    <row r="6" spans="1:5" ht="41.4">
      <c r="A6" s="3" t="s">
        <v>31</v>
      </c>
      <c r="B6" s="9" t="s">
        <v>108</v>
      </c>
      <c r="C6" s="9" t="s">
        <v>109</v>
      </c>
      <c r="D6" s="9" t="s">
        <v>110</v>
      </c>
      <c r="E6" s="4" t="s">
        <v>111</v>
      </c>
    </row>
    <row r="7" spans="1:5" ht="41.4">
      <c r="A7" s="5" t="s">
        <v>32</v>
      </c>
      <c r="B7" s="2" t="s">
        <v>112</v>
      </c>
      <c r="C7" s="2" t="s">
        <v>113</v>
      </c>
      <c r="D7" s="2" t="s">
        <v>110</v>
      </c>
      <c r="E7" s="6" t="s">
        <v>111</v>
      </c>
    </row>
    <row r="8" spans="1:5" ht="41.4">
      <c r="A8" s="7" t="s">
        <v>33</v>
      </c>
      <c r="B8" s="10" t="s">
        <v>114</v>
      </c>
      <c r="C8" s="10" t="s">
        <v>115</v>
      </c>
      <c r="D8" s="10" t="s">
        <v>110</v>
      </c>
      <c r="E8" s="8" t="s">
        <v>111</v>
      </c>
    </row>
    <row r="10" spans="1:5">
      <c r="A10" s="25" t="s">
        <v>34</v>
      </c>
      <c r="B10" s="25"/>
      <c r="C10" s="25"/>
      <c r="D10" s="25"/>
      <c r="E10" s="25"/>
    </row>
    <row r="11" spans="1:5" ht="24" customHeight="1">
      <c r="A11" s="1" t="s">
        <v>35</v>
      </c>
      <c r="B11" s="1" t="s">
        <v>36</v>
      </c>
      <c r="C11" s="1" t="s">
        <v>37</v>
      </c>
      <c r="D11" s="1" t="s">
        <v>22</v>
      </c>
      <c r="E11" s="1" t="s">
        <v>38</v>
      </c>
    </row>
    <row r="12" spans="1:5" ht="41.4">
      <c r="A12" s="3" t="s">
        <v>116</v>
      </c>
      <c r="B12" s="9" t="s">
        <v>117</v>
      </c>
      <c r="C12" s="9" t="s">
        <v>118</v>
      </c>
      <c r="D12" s="9" t="s">
        <v>119</v>
      </c>
      <c r="E12" s="4" t="s">
        <v>39</v>
      </c>
    </row>
    <row r="13" spans="1:5" ht="27.6">
      <c r="A13" s="5" t="s">
        <v>120</v>
      </c>
      <c r="B13" s="2" t="s">
        <v>121</v>
      </c>
      <c r="C13" s="2" t="s">
        <v>122</v>
      </c>
      <c r="D13" s="2" t="s">
        <v>123</v>
      </c>
      <c r="E13" s="6" t="s">
        <v>124</v>
      </c>
    </row>
    <row r="14" spans="1:5" ht="27.6">
      <c r="A14" s="5" t="s">
        <v>125</v>
      </c>
      <c r="B14" s="2" t="s">
        <v>126</v>
      </c>
      <c r="C14" s="2" t="s">
        <v>127</v>
      </c>
      <c r="D14" s="2" t="s">
        <v>128</v>
      </c>
      <c r="E14" s="6" t="s">
        <v>39</v>
      </c>
    </row>
    <row r="15" spans="1:5" ht="27.6">
      <c r="A15" s="5" t="s">
        <v>129</v>
      </c>
      <c r="B15" s="2" t="s">
        <v>130</v>
      </c>
      <c r="C15" s="2" t="s">
        <v>131</v>
      </c>
      <c r="D15" s="2" t="s">
        <v>132</v>
      </c>
      <c r="E15" s="6" t="s">
        <v>133</v>
      </c>
    </row>
    <row r="16" spans="1:5" ht="27.6">
      <c r="A16" s="7" t="s">
        <v>40</v>
      </c>
      <c r="B16" s="10" t="s">
        <v>134</v>
      </c>
      <c r="C16" s="10" t="s">
        <v>41</v>
      </c>
      <c r="D16" s="10" t="s">
        <v>128</v>
      </c>
      <c r="E16" s="8" t="s">
        <v>135</v>
      </c>
    </row>
    <row r="17" spans="1:5">
      <c r="A17" t="s">
        <v>136</v>
      </c>
      <c r="B17" t="s">
        <v>137</v>
      </c>
      <c r="C17" t="s">
        <v>138</v>
      </c>
      <c r="D17" t="s">
        <v>128</v>
      </c>
      <c r="E17" t="s">
        <v>135</v>
      </c>
    </row>
  </sheetData>
  <mergeCells count="4">
    <mergeCell ref="A1:E1"/>
    <mergeCell ref="A2:E2"/>
    <mergeCell ref="A4:E4"/>
    <mergeCell ref="A10:E1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1"/>
  <sheetViews>
    <sheetView workbookViewId="0">
      <selection activeCell="D10" sqref="D10"/>
    </sheetView>
  </sheetViews>
  <sheetFormatPr defaultRowHeight="13.8"/>
  <cols>
    <col min="1" max="1" width="24" customWidth="1"/>
    <col min="2" max="2" width="22" customWidth="1"/>
    <col min="3" max="3" width="20" customWidth="1"/>
    <col min="4" max="4" width="40" customWidth="1"/>
  </cols>
  <sheetData>
    <row r="1" spans="1:4" ht="22.35" customHeight="1">
      <c r="A1" s="23" t="s">
        <v>142</v>
      </c>
      <c r="B1" s="23"/>
      <c r="C1" s="23"/>
      <c r="D1" s="23"/>
    </row>
    <row r="2" spans="1:4" ht="14.4">
      <c r="A2" s="24"/>
      <c r="B2" s="24"/>
      <c r="C2" s="24"/>
      <c r="D2" s="24"/>
    </row>
    <row r="4" spans="1:4" ht="24" customHeight="1">
      <c r="A4" s="1" t="s">
        <v>42</v>
      </c>
      <c r="B4" s="1" t="s">
        <v>43</v>
      </c>
      <c r="C4" s="1" t="s">
        <v>21</v>
      </c>
      <c r="D4" s="1" t="s">
        <v>44</v>
      </c>
    </row>
    <row r="5" spans="1:4">
      <c r="A5" s="3" t="s">
        <v>45</v>
      </c>
      <c r="B5" s="9" t="s">
        <v>46</v>
      </c>
      <c r="C5" s="9"/>
      <c r="D5" s="4" t="s">
        <v>47</v>
      </c>
    </row>
    <row r="6" spans="1:4">
      <c r="A6" s="5" t="s">
        <v>48</v>
      </c>
      <c r="B6" s="2">
        <v>150</v>
      </c>
      <c r="C6" s="2" t="s">
        <v>139</v>
      </c>
      <c r="D6" s="6" t="s">
        <v>50</v>
      </c>
    </row>
    <row r="7" spans="1:4">
      <c r="A7" s="5" t="s">
        <v>27</v>
      </c>
      <c r="B7" s="2" t="s">
        <v>32</v>
      </c>
      <c r="C7" s="2"/>
      <c r="D7" s="6" t="s">
        <v>51</v>
      </c>
    </row>
    <row r="8" spans="1:4">
      <c r="A8" s="5" t="s">
        <v>52</v>
      </c>
      <c r="B8" s="13">
        <v>840000</v>
      </c>
      <c r="C8" s="2" t="s">
        <v>53</v>
      </c>
      <c r="D8" s="6" t="s">
        <v>141</v>
      </c>
    </row>
    <row r="9" spans="1:4">
      <c r="A9" s="5" t="s">
        <v>54</v>
      </c>
      <c r="B9" s="13">
        <v>150</v>
      </c>
      <c r="C9" s="2" t="s">
        <v>49</v>
      </c>
      <c r="D9" s="6" t="s">
        <v>55</v>
      </c>
    </row>
    <row r="10" spans="1:4">
      <c r="A10" s="15" t="s">
        <v>56</v>
      </c>
      <c r="B10" s="16">
        <f>B8*B9</f>
        <v>126000000</v>
      </c>
      <c r="C10" s="17" t="s">
        <v>57</v>
      </c>
      <c r="D10" s="18" t="s">
        <v>58</v>
      </c>
    </row>
    <row r="11" spans="1:4">
      <c r="A11" s="5" t="s">
        <v>59</v>
      </c>
      <c r="B11" s="13">
        <v>0</v>
      </c>
      <c r="C11" s="2" t="s">
        <v>57</v>
      </c>
      <c r="D11" s="6" t="s">
        <v>60</v>
      </c>
    </row>
    <row r="12" spans="1:4">
      <c r="A12" s="5" t="s">
        <v>61</v>
      </c>
      <c r="B12" s="13">
        <v>0</v>
      </c>
      <c r="C12" s="2" t="s">
        <v>57</v>
      </c>
      <c r="D12" s="6" t="s">
        <v>62</v>
      </c>
    </row>
    <row r="13" spans="1:4" ht="27.6">
      <c r="A13" s="19" t="s">
        <v>63</v>
      </c>
      <c r="B13" s="20">
        <f>B10+B11-B12</f>
        <v>126000000</v>
      </c>
      <c r="C13" s="21" t="s">
        <v>57</v>
      </c>
      <c r="D13" s="22" t="s">
        <v>64</v>
      </c>
    </row>
    <row r="15" spans="1:4">
      <c r="A15" s="25" t="s">
        <v>65</v>
      </c>
      <c r="B15" s="25"/>
      <c r="C15" s="25"/>
      <c r="D15" s="25"/>
    </row>
    <row r="16" spans="1:4" ht="24" customHeight="1">
      <c r="A16" s="1" t="s">
        <v>66</v>
      </c>
      <c r="B16" s="1" t="s">
        <v>67</v>
      </c>
      <c r="C16" s="1" t="s">
        <v>68</v>
      </c>
      <c r="D16" s="1" t="s">
        <v>44</v>
      </c>
    </row>
    <row r="17" spans="1:4">
      <c r="A17" s="3">
        <v>1</v>
      </c>
      <c r="B17" s="9" t="s">
        <v>69</v>
      </c>
      <c r="C17" s="9" t="s">
        <v>70</v>
      </c>
      <c r="D17" s="4" t="s">
        <v>140</v>
      </c>
    </row>
    <row r="18" spans="1:4" ht="27.6">
      <c r="A18" s="5">
        <v>2</v>
      </c>
      <c r="B18" s="2" t="s">
        <v>71</v>
      </c>
      <c r="C18" s="2" t="s">
        <v>70</v>
      </c>
      <c r="D18" s="6" t="s">
        <v>72</v>
      </c>
    </row>
    <row r="19" spans="1:4" ht="27.6">
      <c r="A19" s="5">
        <v>3</v>
      </c>
      <c r="B19" s="2" t="s">
        <v>73</v>
      </c>
      <c r="C19" s="2" t="s">
        <v>70</v>
      </c>
      <c r="D19" s="6" t="s">
        <v>74</v>
      </c>
    </row>
    <row r="20" spans="1:4">
      <c r="A20" s="5">
        <v>4</v>
      </c>
      <c r="B20" s="2" t="s">
        <v>80</v>
      </c>
      <c r="C20" s="2" t="s">
        <v>70</v>
      </c>
      <c r="D20" s="6" t="s">
        <v>75</v>
      </c>
    </row>
    <row r="21" spans="1:4" ht="27.6">
      <c r="A21" s="7">
        <v>5</v>
      </c>
      <c r="B21" s="10" t="s">
        <v>76</v>
      </c>
      <c r="C21" s="10" t="s">
        <v>77</v>
      </c>
      <c r="D21" s="8" t="s">
        <v>78</v>
      </c>
    </row>
  </sheetData>
  <mergeCells count="3">
    <mergeCell ref="A1:D1"/>
    <mergeCell ref="A2:D2"/>
    <mergeCell ref="A15:D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01_PRICE_LIST</vt:lpstr>
      <vt:lpstr>02_PACKAGE_TERMS</vt:lpstr>
      <vt:lpstr>03_QUOTE_CHECK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danh vo</cp:lastModifiedBy>
  <dcterms:modified xsi:type="dcterms:W3CDTF">2026-09-03T08:21:55Z</dcterms:modified>
</cp:coreProperties>
</file>