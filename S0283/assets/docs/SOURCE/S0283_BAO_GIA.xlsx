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948d67616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AO_GIA" sheetId="1" r:id="Ra61bb95aa4bb4071"/>
    <x:sheet xmlns:r="http://schemas.openxmlformats.org/officeDocument/2006/relationships" name="02_LEVEL" sheetId="2" r:id="R9f99d9985a0b4c8f"/>
    <x:sheet xmlns:r="http://schemas.openxmlformats.org/officeDocument/2006/relationships" name="03_CO_SO_GIA" sheetId="3" r:id="Rad8deb5ae17142b1"/>
    <x:sheet xmlns:r="http://schemas.openxmlformats.org/officeDocument/2006/relationships" name="04_NGUON" sheetId="4" r:id="Re8ae1600081b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&quot;VNĐ&quot;"/>
    <x:numFmt numFmtId="201" formatCode="dd/mm/yyyy"/>
    <x:numFmt numFmtId="202" formatCode="0%"/>
    <x:numFmt numFmtId="203" formatCode="#,##0"/>
  </x:numFmts>
  <x:fonts count="4">
    <x:font>
      <x:sz val="11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0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/>
    </x:xf>
    <x:xf numFmtId="201" fontId="3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86005a2074571" /><Relationship Type="http://schemas.openxmlformats.org/officeDocument/2006/relationships/theme" Target="/xl/theme/theme1.xml" Id="R762a95ab2166433f" /><Relationship Type="http://schemas.openxmlformats.org/officeDocument/2006/relationships/sharedStrings" Target="/xl/sharedStrings.xml" Id="R7350bcf11d734227" /><Relationship Type="http://schemas.openxmlformats.org/officeDocument/2006/relationships/worksheet" Target="/xl/worksheets/sheet1.xml" Id="Ra61bb95aa4bb4071" /><Relationship Type="http://schemas.openxmlformats.org/officeDocument/2006/relationships/worksheet" Target="/xl/worksheets/sheet2.xml" Id="R9f99d9985a0b4c8f" /><Relationship Type="http://schemas.openxmlformats.org/officeDocument/2006/relationships/worksheet" Target="/xl/worksheets/sheet3.xml" Id="Rad8deb5ae17142b1" /><Relationship Type="http://schemas.openxmlformats.org/officeDocument/2006/relationships/worksheet" Target="/xl/worksheets/sheet4.xml" Id="Re8ae1600081b48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6" hidden="0" customWidth="1"/>
    <x:col min="2" max="2" width="24" hidden="0" customWidth="1"/>
    <x:col min="3" max="3" width="52" hidden="0" customWidth="1"/>
    <x:col min="4" max="4" width="12" hidden="0" customWidth="1"/>
    <x:col min="5" max="5" width="8" hidden="0" customWidth="1"/>
    <x:col min="6" max="6" width="18" hidden="0" customWidth="1"/>
    <x:col min="7" max="7" width="19" hidden="0" customWidth="1"/>
    <x:col min="8" max="8" width="30" hidden="0" customWidth="1"/>
  </x:cols>
  <x:sheetData>
    <x:row r="1" ht="34" customHeight="1">
      <x:c r="A1" s="19" t="str">
        <x:v>BÁO GIÁ MẪU – S0283 THEO DÕI SỰ THAY ĐỔI THẢM THỰC VẬT BẰNG UAV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1" t="str">
        <x:v>Service ID</x:v>
      </x:c>
      <x:c r="B3" s="21" t="str">
        <x:v>S0283</x:v>
      </x:c>
      <x:c r="C3" s="21"/>
      <x:c r="D3" s="21" t="str">
        <x:v>Level lựa chọn</x:v>
      </x:c>
      <x:c r="E3" s="21" t="str">
        <x:v>LEVEL 2 — STANDARD</x:v>
      </x:c>
      <x:c r="F3" s="21"/>
      <x:c r="G3" s="21"/>
      <x:c r="H3" s="21"/>
    </x:row>
    <x:row r="4">
      <x:c r="A4" s="21" t="str">
        <x:v>Khách hàng</x:v>
      </x:c>
      <x:c r="B4" s="21" t="str">
        <x:v>[TÊN KHÁCH HÀNG]</x:v>
      </x:c>
      <x:c r="C4" s="21"/>
      <x:c r="D4" s="21" t="str">
        <x:v>Quy mô</x:v>
      </x:c>
      <x:c r="E4" s="21" t="str">
        <x:v>≤200 ha</x:v>
      </x:c>
      <x:c r="F4" s="21"/>
      <x:c r="G4" s="21"/>
      <x:c r="H4" s="21"/>
    </x:row>
    <x:row r="5">
      <x:c r="A5" s="21" t="str">
        <x:v>Số báo giá</x:v>
      </x:c>
      <x:c r="B5" s="21" t="str">
        <x:v>[SỐ BÁO GIÁ]</x:v>
      </x:c>
      <x:c r="C5" s="21"/>
      <x:c r="D5" s="21" t="str">
        <x:v>Tần suất</x:v>
      </x:c>
      <x:c r="E5" s="21" t="str">
        <x:v>4 kỳ / 12 tháng</x:v>
      </x:c>
      <x:c r="F5" s="21"/>
      <x:c r="G5" s="21"/>
      <x:c r="H5" s="21"/>
    </x:row>
    <x:row r="6">
      <x:c r="A6" s="21" t="str">
        <x:v>Ngày báo giá</x:v>
      </x:c>
      <x:c r="B6" s="31" t="n">
        <x:v>46276</x:v>
      </x:c>
      <x:c r="C6" s="21"/>
      <x:c r="D6" s="21" t="str">
        <x:v>Thời gian</x:v>
      </x:c>
      <x:c r="E6" s="21" t="str">
        <x:v>ĐỀ XUẤT: 12 tháng</x:v>
      </x:c>
      <x:c r="F6" s="21"/>
      <x:c r="G6" s="21"/>
      <x:c r="H6" s="21"/>
    </x:row>
    <x:row r="7">
      <x:c r="A7" s="21" t="str">
        <x:v>Hiệu lực</x:v>
      </x:c>
      <x:c r="B7" s="21" t="str">
        <x:v>ĐỀ XUẤT: 30 ngày</x:v>
      </x:c>
      <x:c r="C7" s="21"/>
      <x:c r="D7" s="21" t="str">
        <x:v>VAT</x:v>
      </x:c>
      <x:c r="E7" s="21" t="str">
        <x:v>CẦN XÁC MINH</x:v>
      </x:c>
      <x:c r="F7" s="21"/>
      <x:c r="G7" s="21"/>
      <x:c r="H7" s="21"/>
    </x:row>
    <x:row r="8">
      <x:c r="A8" s="21" t="str">
        <x:v>Đơn vị cung cấp</x:v>
      </x:c>
      <x:c r="B8" s="21" t="str">
        <x:v>[TÊN ĐƠN VỊ]</x:v>
      </x:c>
      <x:c r="C8" s="21"/>
      <x:c r="D8" s="21" t="str">
        <x:v>Tiền tệ</x:v>
      </x:c>
      <x:c r="E8" s="21" t="str">
        <x:v>VNĐ</x:v>
      </x:c>
      <x:c r="F8" s="21"/>
      <x:c r="G8" s="21"/>
      <x:c r="H8" s="21"/>
    </x:row>
    <x:row r="9">
      <x:c r="A9" s="21"/>
      <x:c r="B9" s="21"/>
      <x:c r="C9" s="21"/>
      <x:c r="D9" s="21"/>
      <x:c r="E9" s="21"/>
      <x:c r="F9" s="21"/>
      <x:c r="G9" s="21"/>
      <x:c r="H9" s="21"/>
    </x:row>
    <x:row r="10">
      <x:c r="A10" s="22" t="str">
        <x:v>STT</x:v>
      </x:c>
      <x:c r="B10" s="22" t="str">
        <x:v>Hạng mục</x:v>
      </x:c>
      <x:c r="C10" s="22" t="str">
        <x:v>Mô tả</x:v>
      </x:c>
      <x:c r="D10" s="22" t="str">
        <x:v>Đơn vị</x:v>
      </x:c>
      <x:c r="E10" s="22" t="str">
        <x:v>SL</x:v>
      </x:c>
      <x:c r="F10" s="22" t="str">
        <x:v>Đơn giá</x:v>
      </x:c>
      <x:c r="G10" s="22" t="str">
        <x:v>Thành tiền</x:v>
      </x:c>
      <x:c r="H10" s="22" t="str">
        <x:v>Ghi chú</x:v>
      </x:c>
    </x:row>
    <x:row r="11" ht="48" customHeight="1">
      <x:c r="A11" s="28" t="n">
        <x:v>1</x:v>
      </x:c>
      <x:c r="B11" s="28" t="str">
        <x:v>Khởi tạo &amp; baseline</x:v>
      </x:c>
      <x:c r="C11" s="28" t="str">
        <x:v>AOI, kế hoạch bay, khảo sát baseline RGB+đa phổ</x:v>
      </x:c>
      <x:c r="D11" s="28" t="str">
        <x:v>gói</x:v>
      </x:c>
      <x:c r="E11" s="28" t="n">
        <x:v>1</x:v>
      </x:c>
      <x:c r="F11" s="29" t="n">
        <x:v>45000000</x:v>
      </x:c>
      <x:c r="G11" s="29" t="n">
        <x:f>E11*F11</x:f>
        <x:v>45000000</x:v>
      </x:c>
      <x:c r="H11" s="28" t="str">
        <x:v>Bao gồm chuẩn hóa kỳ gốc</x:v>
      </x:c>
    </x:row>
    <x:row r="12" ht="48" customHeight="1">
      <x:c r="A12" s="28" t="n">
        <x:v>2</x:v>
      </x:c>
      <x:c r="B12" s="28" t="str">
        <x:v>Monitoring định kỳ</x:v>
      </x:c>
      <x:c r="C12" s="28" t="str">
        <x:v>3 kỳ theo dõi sau baseline</x:v>
      </x:c>
      <x:c r="D12" s="28" t="str">
        <x:v>kỳ</x:v>
      </x:c>
      <x:c r="E12" s="28" t="n">
        <x:v>3</x:v>
      </x:c>
      <x:c r="F12" s="29" t="n">
        <x:v>28000000</x:v>
      </x:c>
      <x:c r="G12" s="29" t="n">
        <x:f>E12*F12</x:f>
        <x:v>84000000</x:v>
      </x:c>
      <x:c r="H12" s="28" t="str">
        <x:v>Tối đa 200 ha/kỳ</x:v>
      </x:c>
    </x:row>
    <x:row r="13" ht="48" customHeight="1">
      <x:c r="A13" s="28" t="n">
        <x:v>3</x:v>
      </x:c>
      <x:c r="B13" s="28" t="str">
        <x:v>Xử lý &amp; phân tích</x:v>
      </x:c>
      <x:c r="C13" s="28" t="str">
        <x:v>Orthomosaic, chỉ số, đồng đăng ký, change map</x:v>
      </x:c>
      <x:c r="D13" s="28" t="str">
        <x:v>gói</x:v>
      </x:c>
      <x:c r="E13" s="28" t="n">
        <x:v>1</x:v>
      </x:c>
      <x:c r="F13" s="29" t="n">
        <x:v>24000000</x:v>
      </x:c>
      <x:c r="G13" s="29" t="n">
        <x:f>E13*F13</x:f>
        <x:v>24000000</x:v>
      </x:c>
      <x:c r="H13" s="28" t="str">
        <x:v>Bao gồm QA/QC</x:v>
      </x:c>
    </x:row>
    <x:row r="14" ht="48" customHeight="1">
      <x:c r="A14" s="28" t="n">
        <x:v>4</x:v>
      </x:c>
      <x:c r="B14" s="28" t="str">
        <x:v>Báo cáo &amp; dữ liệu GIS</x:v>
      </x:c>
      <x:c r="C14" s="28" t="str">
        <x:v>Báo cáo, GeoTIFF/GeoPackage, điểm nóng</x:v>
      </x:c>
      <x:c r="D14" s="28" t="str">
        <x:v>gói</x:v>
      </x:c>
      <x:c r="E14" s="28" t="n">
        <x:v>1</x:v>
      </x:c>
      <x:c r="F14" s="29" t="n">
        <x:v>12000000</x:v>
      </x:c>
      <x:c r="G14" s="29" t="n">
        <x:f>E14*F14</x:f>
        <x:v>12000000</x:v>
      </x:c>
      <x:c r="H14" s="28" t="str">
        <x:v>Không gồm WebGIS</x:v>
      </x:c>
    </x:row>
    <x:row r="15" ht="48" customHeight="1">
      <x:c r="A15" s="28" t="n">
        <x:v>5</x:v>
      </x:c>
      <x:c r="B15" s="28" t="str">
        <x:v>Chiết khấu thương mại</x:v>
      </x:c>
      <x:c r="C15" s="28" t="str">
        <x:v>Điều chỉnh để khớp giá Level 2</x:v>
      </x:c>
      <x:c r="D15" s="28" t="str">
        <x:v>gói</x:v>
      </x:c>
      <x:c r="E15" s="28" t="n">
        <x:v>1</x:v>
      </x:c>
      <x:c r="F15" s="29" t="n">
        <x:f>165000000-SUM(G11:G14)</x:f>
        <x:v>0</x:v>
      </x:c>
      <x:c r="G15" s="29" t="n">
        <x:f>E15*F15</x:f>
        <x:v>0</x:v>
      </x:c>
      <x:c r="H15" s="28" t="str">
        <x:v>ĐỀ XUẤT</x:v>
      </x:c>
    </x:row>
    <x:row r="16">
      <x:c r="A16" s="21"/>
      <x:c r="B16" s="21"/>
      <x:c r="C16" s="21"/>
      <x:c r="D16" s="21"/>
      <x:c r="E16" s="21"/>
      <x:c r="F16" s="30"/>
      <x:c r="G16" s="30"/>
      <x:c r="H16" s="21"/>
    </x:row>
    <x:row r="17">
      <x:c r="A17" s="21"/>
      <x:c r="B17" s="21"/>
      <x:c r="C17" s="21"/>
      <x:c r="D17" s="21"/>
      <x:c r="E17" s="21"/>
      <x:c r="F17" s="30" t="str">
        <x:v>Tạm tính</x:v>
      </x:c>
      <x:c r="G17" s="30" t="n">
        <x:f>SUM(G11:G15)</x:f>
        <x:v>165000000</x:v>
      </x:c>
      <x:c r="H17" s="21"/>
    </x:row>
    <x:row r="18">
      <x:c r="A18" s="21"/>
      <x:c r="B18" s="21"/>
      <x:c r="C18" s="21"/>
      <x:c r="D18" s="21"/>
      <x:c r="E18" s="21"/>
      <x:c r="F18" s="30" t="str">
        <x:v>Chiết khấu</x:v>
      </x:c>
      <x:c r="G18" s="30" t="n">
        <x:v>0</x:v>
      </x:c>
      <x:c r="H18" s="21"/>
    </x:row>
    <x:row r="19">
      <x:c r="A19" s="21"/>
      <x:c r="B19" s="21"/>
      <x:c r="C19" s="21"/>
      <x:c r="D19" s="21"/>
      <x:c r="E19" s="21"/>
      <x:c r="F19" s="30" t="str">
        <x:v>VAT</x:v>
      </x:c>
      <x:c r="G19" s="30"/>
      <x:c r="H19" s="21"/>
    </x:row>
    <x:row r="20">
      <x:c r="A20" s="21"/>
      <x:c r="B20" s="21"/>
      <x:c r="C20" s="21"/>
      <x:c r="D20" s="21"/>
      <x:c r="E20" s="21"/>
      <x:c r="F20" s="30" t="str">
        <x:v>Tổng thanh toán</x:v>
      </x:c>
      <x:c r="G20" s="30" t="n">
        <x:f>G17-G18</x:f>
        <x:v>165000000</x:v>
      </x:c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2">
      <x:c r="A22" s="27" t="str">
        <x:v>ĐIỀU KIỆN THƯƠNG MẠI – ĐỀ XUẤT / CẦN XÁC MINH TRƯỚC KHI PHÁT HÀNH</x:v>
      </x:c>
      <x:c r="B22" s="27"/>
      <x:c r="C22" s="27"/>
      <x:c r="D22" s="27"/>
      <x:c r="E22" s="27"/>
      <x:c r="F22" s="27"/>
      <x:c r="G22" s="27"/>
      <x:c r="H22" s="27"/>
    </x:row>
    <x:row r="23" ht="34" customHeight="1">
      <x:c r="A23" s="28" t="str">
        <x:v>Phạm vi: 4 kỳ khảo sát trong 12 tháng, AOI tối đa 200 ha; các kỳ phải cùng mùa/giai đoạn sinh trưởng khi có thể.</x:v>
      </x:c>
      <x:c r="B23" s="28"/>
      <x:c r="C23" s="28"/>
      <x:c r="D23" s="28"/>
      <x:c r="E23" s="28"/>
      <x:c r="F23" s="28"/>
      <x:c r="G23" s="28"/>
      <x:c r="H23" s="28"/>
    </x:row>
    <x:row r="24" ht="34" customHeight="1">
      <x:c r="A24" s="28" t="str">
        <x:v>Đầu vào khách hàng: ranh giới, quyền tiếp cận, lịch tác động, đầu mối xác nhận và dữ liệu nền hiện có.</x:v>
      </x:c>
      <x:c r="B24" s="28"/>
      <x:c r="C24" s="28"/>
      <x:c r="D24" s="28"/>
      <x:c r="E24" s="28"/>
      <x:c r="F24" s="28"/>
      <x:c r="G24" s="28"/>
      <x:c r="H24" s="28"/>
    </x:row>
    <x:row r="25" ht="34" customHeight="1">
      <x:c r="A25" s="28" t="str">
        <x:v>Không bao gồm: LiDAR, thermal, dashboard, phí/chi phí pháp lý bất thường, đi lại ngoài phạm vi giả định và đo carbon.</x:v>
      </x:c>
      <x:c r="B25" s="28"/>
      <x:c r="C25" s="28"/>
      <x:c r="D25" s="28"/>
      <x:c r="E25" s="28"/>
      <x:c r="F25" s="28"/>
      <x:c r="G25" s="28"/>
      <x:c r="H25" s="28"/>
    </x:row>
    <x:row r="26" ht="34" customHeight="1">
      <x:c r="A26" s="28" t="str">
        <x:v>Thời tiết/giấy phép có thể làm lùi lịch; lịch mới được hai bên xác nhận. Thủ tục pháp lý hiện hành phải kiểm tra theo AOI.</x:v>
      </x:c>
      <x:c r="B26" s="28"/>
      <x:c r="C26" s="28"/>
      <x:c r="D26" s="28"/>
      <x:c r="E26" s="28"/>
      <x:c r="F26" s="28"/>
      <x:c r="G26" s="28"/>
      <x:c r="H26" s="28"/>
    </x:row>
    <x:row r="27" ht="34" customHeight="1">
      <x:c r="A27" s="28" t="str">
        <x:v>Thanh toán ĐỀ XUẤT: 40% khởi động, 40% sau kỳ 2, 20% nghiệm thu. Chính sách chính thức: CẦN XÁC MINH.</x:v>
      </x:c>
      <x:c r="B27" s="28"/>
      <x:c r="C27" s="28"/>
      <x:c r="D27" s="28"/>
      <x:c r="E27" s="28"/>
      <x:c r="F27" s="28"/>
      <x:c r="G27" s="28"/>
      <x:c r="H27" s="28"/>
    </x:row>
    <x:row r="28" ht="34" customHeight="1">
      <x:c r="A28" s="28" t="str">
        <x:v>Dữ liệu và bảo mật: phạm vi sử dụng, thời hạn lưu và quyền sở hữu cần ghi trong hợp đồng.</x:v>
      </x:c>
      <x:c r="B28" s="28"/>
      <x:c r="C28" s="28"/>
      <x:c r="D28" s="28"/>
      <x:c r="E28" s="28"/>
      <x:c r="F28" s="28"/>
      <x:c r="G28" s="28"/>
      <x:c r="H28" s="28"/>
    </x:row>
    <x:row r="29" ht="34" customHeight="1">
      <x:c r="A29" s="28" t="str">
        <x:v>PROPOSED PRICE – KHÔNG PHẢI GIÁ THỊ TRƯỜNG ĐÃ XÁC NHẬN. VAT: CẦN XÁC MINH.</x:v>
      </x:c>
      <x:c r="B29" s="28"/>
      <x:c r="C29" s="28"/>
      <x:c r="D29" s="28"/>
      <x:c r="E29" s="28"/>
      <x:c r="F29" s="28"/>
      <x:c r="G29" s="28"/>
      <x:c r="H29" s="28"/>
    </x:row>
  </x:sheetData>
  <x:mergeCells>
    <x:mergeCell ref="A1:H1"/>
    <x:mergeCell ref="A22:H22"/>
    <x:mergeCell ref="A23:H23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46" hidden="0" customWidth="1"/>
  </x:cols>
  <x:sheetData>
    <x:row r="1">
      <x:c r="A1" s="19" t="str">
        <x:v>SO SÁNH LEVEL – S0283</x:v>
      </x:c>
      <x:c r="B1" s="23"/>
      <x:c r="C1" s="23"/>
      <x:c r="D1" s="23"/>
      <x:c r="E1" s="24"/>
      <x:c r="F1" s="24"/>
      <x:c r="G1" s="24"/>
      <x:c r="H1" s="24"/>
    </x:row>
    <x:row r="2">
      <x:c r="A2" s="21"/>
      <x:c r="B2" s="21"/>
      <x:c r="C2" s="21"/>
      <x:c r="D2" s="21"/>
      <x:c r="E2" s="25"/>
      <x:c r="F2" s="25"/>
      <x:c r="G2" s="25"/>
      <x:c r="H2" s="25"/>
    </x:row>
    <x:row r="3">
      <x:c r="A3" s="22" t="str">
        <x:v>Tiêu chí</x:v>
      </x:c>
      <x:c r="B3" s="22" t="str">
        <x:v>LEVEL 1 — PILOT / BASIC</x:v>
      </x:c>
      <x:c r="C3" s="22" t="str">
        <x:v>LEVEL 2 — STANDARD</x:v>
      </x:c>
      <x:c r="D3" s="22" t="str">
        <x:v>LEVEL 3 — ADVANCED / ENTERPRISE</x:v>
      </x:c>
      <x:c r="E3" s="25"/>
      <x:c r="F3" s="25"/>
      <x:c r="G3" s="25"/>
      <x:c r="H3" s="25"/>
    </x:row>
    <x:row r="4" ht="48" customHeight="1">
      <x:c r="A4" s="28" t="str">
        <x:v>Mục tiêu</x:v>
      </x:c>
      <x:c r="B4" s="28" t="str">
        <x:v>Chứng minh feasibility và baseline</x:v>
      </x:c>
      <x:c r="C4" s="28" t="str">
        <x:v>Monitoring vận hành định kỳ</x:v>
      </x:c>
      <x:c r="D4" s="28" t="str">
        <x:v>Monitoring quy mô lớn và tích hợp</x:v>
      </x:c>
      <x:c r="E4" s="25"/>
      <x:c r="F4" s="25"/>
      <x:c r="G4" s="25"/>
      <x:c r="H4" s="25"/>
    </x:row>
    <x:row r="5" ht="48" customHeight="1">
      <x:c r="A5" s="28" t="str">
        <x:v>Quy mô</x:v>
      </x:c>
      <x:c r="B5" s="28" t="str">
        <x:v>≤50 ha</x:v>
      </x:c>
      <x:c r="C5" s="28" t="str">
        <x:v>≤200 ha</x:v>
      </x:c>
      <x:c r="D5" s="28" t="str">
        <x:v>≤500 ha</x:v>
      </x:c>
      <x:c r="E5" s="25"/>
      <x:c r="F5" s="25"/>
      <x:c r="G5" s="25"/>
      <x:c r="H5" s="25"/>
    </x:row>
    <x:row r="6" ht="48" customHeight="1">
      <x:c r="A6" s="28" t="str">
        <x:v>Tần suất</x:v>
      </x:c>
      <x:c r="B6" s="28" t="str">
        <x:v>2 kỳ</x:v>
      </x:c>
      <x:c r="C6" s="28" t="str">
        <x:v>4 kỳ / 12 tháng</x:v>
      </x:c>
      <x:c r="D6" s="28" t="str">
        <x:v>6 kỳ / 12 tháng</x:v>
      </x:c>
      <x:c r="E6" s="25"/>
      <x:c r="F6" s="25"/>
      <x:c r="G6" s="25"/>
      <x:c r="H6" s="25"/>
    </x:row>
    <x:row r="7" ht="48" customHeight="1">
      <x:c r="A7" s="28" t="str">
        <x:v>Công nghệ</x:v>
      </x:c>
      <x:c r="B7" s="28" t="str">
        <x:v>UAV RGB+đa phổ, RTK/PPK</x:v>
      </x:c>
      <x:c r="C7" s="28" t="str">
        <x:v>Như Level 1 + change analytics</x:v>
      </x:c>
      <x:c r="D7" s="28" t="str">
        <x:v>Như Level 2 + AI tùy chỉnh, dashboard/API</x:v>
      </x:c>
      <x:c r="E7" s="25"/>
      <x:c r="F7" s="25"/>
      <x:c r="G7" s="25"/>
      <x:c r="H7" s="25"/>
    </x:row>
    <x:row r="8" ht="48" customHeight="1">
      <x:c r="A8" s="28" t="str">
        <x:v>Nhân sự</x:v>
      </x:c>
      <x:c r="B8" s="28" t="str">
        <x:v>Pilot, GIS analyst, QA/PM</x:v>
      </x:c>
      <x:c r="C8" s="28" t="str">
        <x:v>2-person field team, GIS/RS, QA/PM</x:v>
      </x:c>
      <x:c r="D8" s="28" t="str">
        <x:v>Nhiều tổ bay khi cần, GIS/AI, QA/PM</x:v>
      </x:c>
      <x:c r="E8" s="25"/>
      <x:c r="F8" s="25"/>
      <x:c r="G8" s="25"/>
      <x:c r="H8" s="25"/>
    </x:row>
    <x:row r="9" ht="48" customHeight="1">
      <x:c r="A9" s="28" t="str">
        <x:v>Deliverables</x:v>
      </x:c>
      <x:c r="B9" s="28" t="str">
        <x:v>Orthomosaic, chỉ số, change map, báo cáo</x:v>
      </x:c>
      <x:c r="C9" s="28" t="str">
        <x:v>Thêm điểm nóng, thống kê theo lô, bộ dữ liệu GIS</x:v>
      </x:c>
      <x:c r="D9" s="28" t="str">
        <x:v>Thêm dashboard/API, mô hình AI và báo cáo định kỳ</x:v>
      </x:c>
      <x:c r="E9" s="25"/>
      <x:c r="F9" s="25"/>
      <x:c r="G9" s="25"/>
      <x:c r="H9" s="25"/>
    </x:row>
    <x:row r="10" ht="48" customHeight="1">
      <x:c r="A10" s="28" t="str">
        <x:v>KPI đề xuất</x:v>
      </x:c>
      <x:c r="B10" s="28" t="str">
        <x:v>Coverage ≥95%; báo cáo ≤10 ngày làm việc/kỳ</x:v>
      </x:c>
      <x:c r="C10" s="28" t="str">
        <x:v>Coverage ≥95%; đồng đăng ký mục tiêu ≤2 GSD; báo cáo ≤10 ngày</x:v>
      </x:c>
      <x:c r="D10" s="28" t="str">
        <x:v>Như Level 2; dashboard ≤15 ngày sau kỳ; KPI AI theo validation</x:v>
      </x:c>
      <x:c r="E10" s="25"/>
      <x:c r="F10" s="25"/>
      <x:c r="G10" s="25"/>
      <x:c r="H10" s="25"/>
    </x:row>
    <x:row r="11" ht="48" customHeight="1">
      <x:c r="A11" s="28" t="str">
        <x:v>SLA</x:v>
      </x:c>
      <x:c r="B11" s="28" t="str">
        <x:v>ĐỀ XUẤT</x:v>
      </x:c>
      <x:c r="C11" s="28" t="str">
        <x:v>ĐỀ XUẤT</x:v>
      </x:c>
      <x:c r="D11" s="28" t="str">
        <x:v>Tùy chỉnh theo hợp đồng</x:v>
      </x:c>
      <x:c r="E11" s="25"/>
      <x:c r="F11" s="25"/>
      <x:c r="G11" s="25"/>
      <x:c r="H11" s="25"/>
    </x:row>
    <x:row r="12" ht="48" customHeight="1">
      <x:c r="A12" s="28" t="str">
        <x:v>Điều kiện</x:v>
      </x:c>
      <x:c r="B12" s="28" t="str">
        <x:v>AOI liền vùng, tiếp cận thuận lợi</x:v>
      </x:c>
      <x:c r="C12" s="28" t="str">
        <x:v>Tối đa 200 ha/kỳ, điều kiện bay phù hợp</x:v>
      </x:c>
      <x:c r="D12" s="28" t="str">
        <x:v>Khảo sát hạ tầng tích hợp và bảo mật</x:v>
      </x:c>
      <x:c r="E12" s="25"/>
      <x:c r="F12" s="25"/>
      <x:c r="G12" s="25"/>
      <x:c r="H12" s="25"/>
    </x:row>
    <x:row r="13" ht="48" customHeight="1">
      <x:c r="A13" s="28" t="str">
        <x:v>Cost floor</x:v>
      </x:c>
      <x:c r="B13" s="29" t="n">
        <x:f>'03_CO_SO_GIA'!F18</x:f>
        <x:v>45540000</x:v>
      </x:c>
      <x:c r="C13" s="29" t="n">
        <x:f>'03_CO_SO_GIA'!G18</x:f>
        <x:v>133285000</x:v>
      </x:c>
      <x:c r="D13" s="29" t="n">
        <x:f>'03_CO_SO_GIA'!H18</x:f>
        <x:v>325680000</x:v>
      </x:c>
      <x:c r="E13" s="25"/>
      <x:c r="F13" s="25"/>
      <x:c r="G13" s="25"/>
      <x:c r="H13" s="25"/>
    </x:row>
    <x:row r="14" ht="48" customHeight="1">
      <x:c r="A14" s="32" t="str">
        <x:v>Giá đề xuất</x:v>
      </x:c>
      <x:c r="B14" s="33" t="n">
        <x:v>65000000</x:v>
      </x:c>
      <x:c r="C14" s="33" t="n">
        <x:v>165000000</x:v>
      </x:c>
      <x:c r="D14" s="33" t="n">
        <x:v>420000000</x:v>
      </x:c>
      <x:c r="E14" s="25"/>
      <x:c r="F14" s="25"/>
      <x:c r="G14" s="25"/>
      <x:c r="H14" s="25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8" hidden="0" customWidth="1"/>
    <x:col min="4" max="4" width="2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9" t="str">
        <x:v>CƠ SỞ GIÁ – AUDIT-READY COST MODEL</x:v>
      </x:c>
      <x:c r="B1" s="23"/>
      <x:c r="C1" s="23"/>
      <x:c r="D1" s="23"/>
      <x:c r="E1" s="23"/>
      <x:c r="F1" s="23"/>
      <x:c r="G1" s="23"/>
      <x:c r="H1" s="23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Cost item</x:v>
      </x:c>
      <x:c r="B3" s="22" t="str">
        <x:v>Đơn vị</x:v>
      </x:c>
      <x:c r="C3" s="22" t="str">
        <x:v>Đơn giá (VNĐ)</x:v>
      </x:c>
      <x:c r="D3" s="22" t="str">
        <x:v>Loại</x:v>
      </x:c>
      <x:c r="E3" s="22" t="str">
        <x:v>Source ID</x:v>
      </x:c>
      <x:c r="F3" s="22" t="str">
        <x:v>L1 Qty</x:v>
      </x:c>
      <x:c r="G3" s="22" t="str">
        <x:v>L2 Qty</x:v>
      </x:c>
      <x:c r="H3" s="22" t="str">
        <x:v>L3 Qty</x:v>
      </x:c>
    </x:row>
    <x:row r="4" ht="40" customHeight="1">
      <x:c r="A4" s="28" t="str">
        <x:v>UAV pilot</x:v>
      </x:c>
      <x:c r="B4" s="28" t="str">
        <x:v>ngày</x:v>
      </x:c>
      <x:c r="C4" s="29" t="n">
        <x:v>1800000</x:v>
      </x:c>
      <x:c r="D4" s="28" t="str">
        <x:v>ASSUMPTION loaded cost/day</x:v>
      </x:c>
      <x:c r="E4" s="28" t="str">
        <x:v>SRC-12</x:v>
      </x:c>
      <x:c r="F4" s="28" t="n">
        <x:v>2</x:v>
      </x:c>
      <x:c r="G4" s="28" t="n">
        <x:v>5</x:v>
      </x:c>
      <x:c r="H4" s="28" t="n">
        <x:v>12</x:v>
      </x:c>
    </x:row>
    <x:row r="5" ht="40" customHeight="1">
      <x:c r="A5" s="28" t="str">
        <x:v>GIS/remote sensing analyst</x:v>
      </x:c>
      <x:c r="B5" s="28" t="str">
        <x:v>ngày</x:v>
      </x:c>
      <x:c r="C5" s="29" t="n">
        <x:v>2200000</x:v>
      </x:c>
      <x:c r="D5" s="28" t="str">
        <x:v>ASSUMPTION loaded cost/day</x:v>
      </x:c>
      <x:c r="E5" s="28" t="str">
        <x:v>SRC-12</x:v>
      </x:c>
      <x:c r="F5" s="28" t="n">
        <x:v>5</x:v>
      </x:c>
      <x:c r="G5" s="28" t="n">
        <x:v>12</x:v>
      </x:c>
      <x:c r="H5" s="28" t="n">
        <x:v>28</x:v>
      </x:c>
    </x:row>
    <x:row r="6" ht="40" customHeight="1">
      <x:c r="A6" s="28" t="str">
        <x:v>QA/PM</x:v>
      </x:c>
      <x:c r="B6" s="28" t="str">
        <x:v>ngày</x:v>
      </x:c>
      <x:c r="C6" s="29" t="n">
        <x:v>2500000</x:v>
      </x:c>
      <x:c r="D6" s="28" t="str">
        <x:v>ASSUMPTION loaded cost/day</x:v>
      </x:c>
      <x:c r="E6" s="28" t="str">
        <x:v>SRC-12</x:v>
      </x:c>
      <x:c r="F6" s="28" t="n">
        <x:v>2</x:v>
      </x:c>
      <x:c r="G6" s="28" t="n">
        <x:v>5</x:v>
      </x:c>
      <x:c r="H6" s="28" t="n">
        <x:v>12</x:v>
      </x:c>
    </x:row>
    <x:row r="7" ht="40" customHeight="1">
      <x:c r="A7" s="28" t="str">
        <x:v>Field assistant</x:v>
      </x:c>
      <x:c r="B7" s="28" t="str">
        <x:v>người-ngày</x:v>
      </x:c>
      <x:c r="C7" s="29" t="n">
        <x:v>1000000</x:v>
      </x:c>
      <x:c r="D7" s="28" t="str">
        <x:v>ASSUMPTION</x:v>
      </x:c>
      <x:c r="E7" s="28" t="str"/>
      <x:c r="F7" s="28" t="n">
        <x:v>2</x:v>
      </x:c>
      <x:c r="G7" s="28" t="n">
        <x:v>8</x:v>
      </x:c>
      <x:c r="H7" s="28" t="n">
        <x:v>24</x:v>
      </x:c>
    </x:row>
    <x:row r="8" ht="40" customHeight="1">
      <x:c r="A8" s="28" t="str">
        <x:v>Travel/logistics</x:v>
      </x:c>
      <x:c r="B8" s="28" t="str">
        <x:v>chuyến</x:v>
      </x:c>
      <x:c r="C8" s="29" t="n">
        <x:v>5000000</x:v>
      </x:c>
      <x:c r="D8" s="28" t="str">
        <x:v>ASSUMPTION</x:v>
      </x:c>
      <x:c r="E8" s="28" t="str"/>
      <x:c r="F8" s="28" t="n">
        <x:v>1</x:v>
      </x:c>
      <x:c r="G8" s="28" t="n">
        <x:v>3</x:v>
      </x:c>
      <x:c r="H8" s="28" t="n">
        <x:v>6</x:v>
      </x:c>
    </x:row>
    <x:row r="9" ht="40" customHeight="1">
      <x:c r="A9" s="28" t="str">
        <x:v>UAV multispectral allocation</x:v>
      </x:c>
      <x:c r="B9" s="28" t="str">
        <x:v>ngày bay</x:v>
      </x:c>
      <x:c r="C9" s="29" t="n">
        <x:v>3000000</x:v>
      </x:c>
      <x:c r="D9" s="28" t="str">
        <x:v>ASSUMPTION phân bổ tài sản</x:v>
      </x:c>
      <x:c r="E9" s="28" t="str">
        <x:v>SRC-03</x:v>
      </x:c>
      <x:c r="F9" s="28" t="n">
        <x:v>2</x:v>
      </x:c>
      <x:c r="G9" s="28" t="n">
        <x:v>5</x:v>
      </x:c>
      <x:c r="H9" s="28" t="n">
        <x:v>12</x:v>
      </x:c>
    </x:row>
    <x:row r="10" ht="40" customHeight="1">
      <x:c r="A10" s="28" t="str">
        <x:v>Software processing</x:v>
      </x:c>
      <x:c r="B10" s="28" t="str">
        <x:v>tháng</x:v>
      </x:c>
      <x:c r="C10" s="29" t="n">
        <x:v>3000000</x:v>
      </x:c>
      <x:c r="D10" s="28" t="str">
        <x:v>BENCHMARK quy đổi</x:v>
      </x:c>
      <x:c r="E10" s="28" t="str">
        <x:v>SRC-04</x:v>
      </x:c>
      <x:c r="F10" s="28" t="n">
        <x:v>1</x:v>
      </x:c>
      <x:c r="G10" s="28" t="n">
        <x:v>4</x:v>
      </x:c>
      <x:c r="H10" s="28" t="n">
        <x:v>8</x:v>
      </x:c>
    </x:row>
    <x:row r="11" ht="40" customHeight="1">
      <x:c r="A11" s="28" t="str">
        <x:v>Cloud/storage</x:v>
      </x:c>
      <x:c r="B11" s="28" t="str">
        <x:v>tháng</x:v>
      </x:c>
      <x:c r="C11" s="29" t="n">
        <x:v>1000000</x:v>
      </x:c>
      <x:c r="D11" s="28" t="str">
        <x:v>ASSUMPTION</x:v>
      </x:c>
      <x:c r="E11" s="28" t="str">
        <x:v>SRC-05</x:v>
      </x:c>
      <x:c r="F11" s="28" t="n">
        <x:v>1</x:v>
      </x:c>
      <x:c r="G11" s="28" t="n">
        <x:v>12</x:v>
      </x:c>
      <x:c r="H11" s="28" t="n">
        <x:v>12</x:v>
      </x:c>
    </x:row>
    <x:row r="12" ht="40" customHeight="1">
      <x:c r="A12" s="28" t="str">
        <x:v>Ground truth consumables</x:v>
      </x:c>
      <x:c r="B12" s="28" t="str">
        <x:v>kỳ</x:v>
      </x:c>
      <x:c r="C12" s="29" t="n">
        <x:v>1500000</x:v>
      </x:c>
      <x:c r="D12" s="28" t="str">
        <x:v>ASSUMPTION</x:v>
      </x:c>
      <x:c r="E12" s="28" t="str"/>
      <x:c r="F12" s="28" t="n">
        <x:v>2</x:v>
      </x:c>
      <x:c r="G12" s="28" t="n">
        <x:v>4</x:v>
      </x:c>
      <x:c r="H12" s="28" t="n">
        <x:v>6</x:v>
      </x:c>
    </x:row>
    <x:row r="13" ht="40" customHeight="1">
      <x:c r="A13" s="28" t="str">
        <x:v>Dashboard/API</x:v>
      </x:c>
      <x:c r="B13" s="28" t="str">
        <x:v>gói</x:v>
      </x:c>
      <x:c r="C13" s="29" t="n">
        <x:v>35000000</x:v>
      </x:c>
      <x:c r="D13" s="28" t="str">
        <x:v>ASSUMPTION</x:v>
      </x:c>
      <x:c r="E13" s="28" t="str">
        <x:v>SRC-05</x:v>
      </x:c>
      <x:c r="F13" s="28" t="n">
        <x:v>0</x:v>
      </x:c>
      <x:c r="G13" s="28" t="n">
        <x:v>0</x:v>
      </x:c>
      <x:c r="H13" s="28" t="n">
        <x:v>1</x:v>
      </x:c>
    </x:row>
    <x:row r="14">
      <x:c r="A14" s="28"/>
      <x:c r="B14" s="28"/>
      <x:c r="C14" s="28"/>
      <x:c r="D14" s="28"/>
      <x:c r="E14" s="28"/>
      <x:c r="F14" s="28"/>
      <x:c r="G14" s="28"/>
      <x:c r="H14" s="28"/>
    </x:row>
    <x:row r="15">
      <x:c r="A15" s="22" t="str">
        <x:v>Chỉ tiêu</x:v>
      </x:c>
      <x:c r="B15" s="22" t="str">
        <x:v>Công thức</x:v>
      </x:c>
      <x:c r="C15" s="22" t="str">
        <x:v>Ghi chú</x:v>
      </x:c>
      <x:c r="D15" s="22" t="str"/>
      <x:c r="E15" s="22" t="str"/>
      <x:c r="F15" s="22" t="str">
        <x:v>LEVEL 1</x:v>
      </x:c>
      <x:c r="G15" s="22" t="str">
        <x:v>LEVEL 2</x:v>
      </x:c>
      <x:c r="H15" s="22" t="str">
        <x:v>LEVEL 3</x:v>
      </x:c>
    </x:row>
    <x:row r="16">
      <x:c r="A16" s="28" t="str">
        <x:v>Direct cost</x:v>
      </x:c>
      <x:c r="B16" s="28" t="str">
        <x:v>SUMPRODUCT đơn giá×khối lượng</x:v>
      </x:c>
      <x:c r="C16" s="28" t="str">
        <x:v>Từ dòng 4:13</x:v>
      </x:c>
      <x:c r="D16" s="28" t="str"/>
      <x:c r="E16" s="28" t="str"/>
      <x:c r="F16" s="29" t="n">
        <x:f>SUMPRODUCT($C$4:$C$13,F$4:F$13)</x:f>
        <x:v>39600000</x:v>
      </x:c>
      <x:c r="G16" s="29" t="n">
        <x:f>SUMPRODUCT($C$4:$C$13,G$4:G$13)</x:f>
        <x:v>115900000</x:v>
      </x:c>
      <x:c r="H16" s="29" t="n">
        <x:f>SUMPRODUCT($C$4:$C$13,H$4:H$13)</x:f>
        <x:v>283200000</x:v>
      </x:c>
    </x:row>
    <x:row r="17">
      <x:c r="A17" s="28" t="str">
        <x:v>Overhead + contingency</x:v>
      </x:c>
      <x:c r="B17" s="28" t="str">
        <x:v>15% direct cost</x:v>
      </x:c>
      <x:c r="C17" s="28" t="str">
        <x:v>GIẢ ĐỊNH NỘI BỘ</x:v>
      </x:c>
      <x:c r="D17" s="28" t="str"/>
      <x:c r="E17" s="28" t="str"/>
      <x:c r="F17" s="29" t="n">
        <x:f>F16*15%</x:f>
        <x:v>5940000</x:v>
      </x:c>
      <x:c r="G17" s="29" t="n">
        <x:f>G16*15%</x:f>
        <x:v>17385000</x:v>
      </x:c>
      <x:c r="H17" s="29" t="n">
        <x:f>H16*15%</x:f>
        <x:v>42480000</x:v>
      </x:c>
    </x:row>
    <x:row r="18">
      <x:c r="A18" s="28" t="str">
        <x:v>Cost floor</x:v>
      </x:c>
      <x:c r="B18" s="28" t="str">
        <x:v>Direct cost + overhead/contingency</x:v>
      </x:c>
      <x:c r="C18" s="28" t="str">
        <x:v>Loaded delivery cost</x:v>
      </x:c>
      <x:c r="D18" s="28" t="str"/>
      <x:c r="E18" s="28" t="str"/>
      <x:c r="F18" s="29" t="n">
        <x:f>F16+F17</x:f>
        <x:v>45540000</x:v>
      </x:c>
      <x:c r="G18" s="29" t="n">
        <x:f>G16+G17</x:f>
        <x:v>133285000</x:v>
      </x:c>
      <x:c r="H18" s="29" t="n">
        <x:f>H16+H17</x:f>
        <x:v>325680000</x:v>
      </x:c>
    </x:row>
    <x:row r="19">
      <x:c r="A19" s="28" t="str">
        <x:v>Target margin</x:v>
      </x:c>
      <x:c r="B19" s="28" t="str">
        <x:v>30% giá bán</x:v>
      </x:c>
      <x:c r="C19" s="28" t="str">
        <x:v>GIẢ ĐỊNH NỘI BỘ</x:v>
      </x:c>
      <x:c r="D19" s="28" t="str"/>
      <x:c r="E19" s="28" t="str"/>
      <x:c r="F19" s="34" t="n">
        <x:v>0.3</x:v>
      </x:c>
      <x:c r="G19" s="34" t="n">
        <x:v>0.3</x:v>
      </x:c>
      <x:c r="H19" s="34" t="n">
        <x:v>0.3</x:v>
      </x:c>
    </x:row>
    <x:row r="20">
      <x:c r="A20" s="28" t="str">
        <x:v>Price theo cost/margin</x:v>
      </x:c>
      <x:c r="B20" s="28" t="str">
        <x:v>Cost floor/(1-margin)</x:v>
      </x:c>
      <x:c r="C20" s="28" t="str">
        <x:v>Tham chiếu, chưa làm tròn</x:v>
      </x:c>
      <x:c r="D20" s="28" t="str"/>
      <x:c r="E20" s="28" t="str"/>
      <x:c r="F20" s="29" t="n">
        <x:f>F18/(1-F19)</x:f>
        <x:v>65057142.85714286</x:v>
      </x:c>
      <x:c r="G20" s="29" t="n">
        <x:f>G18/(1-G19)</x:f>
        <x:v>190407142.85714287</x:v>
      </x:c>
      <x:c r="H20" s="29" t="n">
        <x:f>H18/(1-H19)</x:f>
        <x:v>465257142.85714287</x:v>
      </x:c>
    </x:row>
    <x:row r="21">
      <x:c r="A21" s="28" t="str">
        <x:v>PROPOSED PRICE</x:v>
      </x:c>
      <x:c r="B21" s="28" t="str">
        <x:v>Giá thương mại đề xuất</x:v>
      </x:c>
      <x:c r="C21" s="28" t="str">
        <x:v>Không phải market price</x:v>
      </x:c>
      <x:c r="D21" s="28" t="str"/>
      <x:c r="E21" s="28" t="str"/>
      <x:c r="F21" s="29" t="n">
        <x:v>65000000</x:v>
      </x:c>
      <x:c r="G21" s="29" t="n">
        <x:v>165000000</x:v>
      </x:c>
      <x:c r="H21" s="29" t="n">
        <x:v>420000000</x:v>
      </x:c>
    </x:row>
    <x:row r="22">
      <x:c r="A22" s="28" t="str">
        <x:v>Competitive assessment</x:v>
      </x:c>
      <x:c r="B22" s="28" t="str">
        <x:v>So với proxy benchmark</x:v>
      </x:c>
      <x:c r="C22" s="28" t="str">
        <x:v>Cần benchmark VN cùng scope</x:v>
      </x:c>
      <x:c r="D22" s="28" t="str"/>
      <x:c r="E22" s="28" t="str"/>
      <x:c r="F22" s="36" t="str">
        <x:v>CẠNH TRANH CÓ ĐIỀU KIỆN</x:v>
      </x:c>
      <x:c r="G22" s="36" t="str">
        <x:v>CẠNH TRANH CÓ ĐIỀU KIỆN</x:v>
      </x:c>
      <x:c r="H22" s="36" t="str">
        <x:v>CẦN KIỂM CHỨNG THÊM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  <x:row r="25">
      <x:c r="A25" s="22" t="str">
        <x:v>Source</x:v>
      </x:c>
      <x:c r="B25" s="22" t="str">
        <x:v>Dịch vụ/benchmark</x:v>
      </x:c>
      <x:c r="C25" s="22" t="str">
        <x:v>Scope</x:v>
      </x:c>
      <x:c r="D25" s="22" t="str">
        <x:v>Giá gốc</x:v>
      </x:c>
      <x:c r="E25" s="22" t="str">
        <x:v>Quy đổi VNĐ</x:v>
      </x:c>
      <x:c r="F25" s="22" t="str">
        <x:v>Tương đồng</x:v>
      </x:c>
      <x:c r="G25" s="22" t="str">
        <x:v>Source ID</x:v>
      </x:c>
      <x:c r="H25" s="22" t="str">
        <x:v>Kết luận</x:v>
      </x:c>
    </x:row>
    <x:row r="26" ht="42" customHeight="1">
      <x:c r="A26" s="28" t="str">
        <x:v>PIX4D</x:v>
      </x:c>
      <x:c r="B26" s="28" t="str">
        <x:v>PIX4Dfields</x:v>
      </x:c>
      <x:c r="C26" s="28" t="str">
        <x:v>Software agriculture</x:v>
      </x:c>
      <x:c r="D26" s="35" t="n">
        <x:v>111</x:v>
      </x:c>
      <x:c r="E26" s="35" t="n">
        <x:v>2886000</x:v>
      </x:c>
      <x:c r="F26" s="28" t="str">
        <x:v>LOW/PROXY</x:v>
      </x:c>
      <x:c r="G26" s="28" t="str">
        <x:v>SRC-04</x:v>
      </x:c>
      <x:c r="H26" s="28" t="str">
        <x:v>Chi phí software/tháng</x:v>
      </x:c>
    </x:row>
    <x:row r="27" ht="42" customHeight="1">
      <x:c r="A27" s="28" t="str">
        <x:v>DroneDeploy</x:v>
      </x:c>
      <x:c r="B27" s="28" t="str">
        <x:v>Ag Lite</x:v>
      </x:c>
      <x:c r="C27" s="28" t="str">
        <x:v>Software annual</x:v>
      </x:c>
      <x:c r="D27" s="35" t="n">
        <x:v>1908</x:v>
      </x:c>
      <x:c r="E27" s="35" t="n">
        <x:v>49608000</x:v>
      </x:c>
      <x:c r="F27" s="28" t="str">
        <x:v>LOW/PROXY</x:v>
      </x:c>
      <x:c r="G27" s="28" t="str">
        <x:v>SRC-05</x:v>
      </x:c>
      <x:c r="H27" s="28" t="str">
        <x:v>Chi phí software/năm</x:v>
      </x:c>
    </x:row>
    <x:row r="28" ht="42" customHeight="1">
      <x:c r="A28" s="28" t="str">
        <x:v>The Drone U</x:v>
      </x:c>
      <x:c r="B28" s="28" t="str">
        <x:v>Drone mapping</x:v>
      </x:c>
      <x:c r="C28" s="28" t="str">
        <x:v>USD5–20/acre</x:v>
      </x:c>
      <x:c r="D28" s="35" t="n">
        <x:v>5</x:v>
      </x:c>
      <x:c r="E28" s="35" t="n">
        <x:v>130000</x:v>
      </x:c>
      <x:c r="F28" s="28" t="str">
        <x:v>LOW/PROXY</x:v>
      </x:c>
      <x:c r="G28" s="28" t="str">
        <x:v>SRC-09</x:v>
      </x:c>
      <x:c r="H28" s="28" t="str">
        <x:v>Không gồm monitoring đa phổ đầy đủ</x:v>
      </x:c>
    </x:row>
    <x:row r="29" ht="42" customHeight="1">
      <x:c r="A29" s="28" t="str">
        <x:v>SkyeBrowse</x:v>
      </x:c>
      <x:c r="B29" s="28" t="str">
        <x:v>Drone mapping project</x:v>
      </x:c>
      <x:c r="C29" s="28" t="str">
        <x:v>USD300–3,500/project</x:v>
      </x:c>
      <x:c r="D29" s="35" t="n">
        <x:v>300</x:v>
      </x:c>
      <x:c r="E29" s="35" t="n">
        <x:v>7800000</x:v>
      </x:c>
      <x:c r="F29" s="28" t="str">
        <x:v>LOW/PROXY</x:v>
      </x:c>
      <x:c r="G29" s="28" t="str">
        <x:v>SRC-10</x:v>
      </x:c>
      <x:c r="H29" s="28" t="str">
        <x:v>Anchor cấp dự án quốc tế</x:v>
      </x:c>
    </x:row>
    <x:row r="30" ht="42" customHeight="1">
      <x:c r="A30" s="28" t="str">
        <x:v>AgriFly Vietnam</x:v>
      </x:c>
      <x:c r="B30" s="28" t="str">
        <x:v>Drone spraying</x:v>
      </x:c>
      <x:c r="C30" s="28" t="str">
        <x:v>250–400k VNĐ/ha</x:v>
      </x:c>
      <x:c r="D30" s="35" t="n">
        <x:v>250000</x:v>
      </x:c>
      <x:c r="E30" s="35" t="n">
        <x:v>250000</x:v>
      </x:c>
      <x:c r="F30" s="28" t="str">
        <x:v>LOW/PROXY</x:v>
      </x:c>
      <x:c r="G30" s="28" t="str">
        <x:v>SRC-11</x:v>
      </x:c>
      <x:c r="H30" s="28" t="str">
        <x:v>Việt Nam nhưng khác dịch vụ</x:v>
      </x:c>
    </x:row>
    <x:row r="31" ht="42" customHeight="1">
      <x:c r="A31" s="28" t="str">
        <x:v>GASCOLAE</x:v>
      </x:c>
      <x:c r="B31" s="28" t="str">
        <x:v>Willingness-to-pay</x:v>
      </x:c>
      <x:c r="C31" s="28" t="str">
        <x:v>Pilot/interview</x:v>
      </x:c>
      <x:c r="D31" s="35"/>
      <x:c r="E31" s="35"/>
      <x:c r="F31" s="28" t="str">
        <x:v>CẦN XÁC MINH</x:v>
      </x:c>
      <x:c r="G31" s="28" t="str"/>
      <x:c r="H31" s="28" t="str">
        <x:v>Không có benchmark VN 1:1 công khai</x:v>
      </x:c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36" t="str">
        <x:v>Giả định quy đổi: 1 USD = 26.000 VNĐ; 20 ngày công/tháng; overhead+contingency 15%; target gross margin 30%. Tất cả cần GASCOLAE xác nhận.</x:v>
      </x:c>
      <x:c r="B33" s="36"/>
      <x:c r="C33" s="36"/>
      <x:c r="D33" s="36"/>
      <x:c r="E33" s="36"/>
      <x:c r="F33" s="36"/>
      <x:c r="G33" s="36"/>
      <x:c r="H33" s="36"/>
    </x:row>
  </x:sheetData>
  <x:mergeCells>
    <x:mergeCell ref="A1:H1"/>
    <x:mergeCell ref="A33:H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12" hidden="0" customWidth="1"/>
    <x:col min="4" max="4" width="34" hidden="0" customWidth="1"/>
    <x:col min="5" max="5" width="56" hidden="0" customWidth="1"/>
    <x:col min="6" max="6" width="50" hidden="0" customWidth="1"/>
    <x:col min="7" max="7" width="12" hidden="0" customWidth="1"/>
    <x:col min="8" max="8" width="12" hidden="0" customWidth="1"/>
    <x:col min="9" max="9" width="35" hidden="0" customWidth="1"/>
  </x:cols>
  <x:sheetData>
    <x:row r="1">
      <x:c r="A1" s="22" t="str">
        <x:v>STT</x:v>
      </x:c>
      <x:c r="B1" s="22" t="str">
        <x:v>Source ID</x:v>
      </x:c>
      <x:c r="C1" s="22" t="str">
        <x:v>Loại nguồn</x:v>
      </x:c>
      <x:c r="D1" s="22" t="str">
        <x:v>Tên nguồn</x:v>
      </x:c>
      <x:c r="E1" s="22" t="str">
        <x:v>URL</x:v>
      </x:c>
      <x:c r="F1" s="22" t="str">
        <x:v>Nội dung sử dụng</x:v>
      </x:c>
      <x:c r="G1" s="22" t="str">
        <x:v>Tin cậy</x:v>
      </x:c>
      <x:c r="H1" s="22" t="str">
        <x:v>Bảo mật</x:v>
      </x:c>
      <x:c r="I1" s="22" t="str">
        <x:v>Ghi chú</x:v>
      </x:c>
    </x:row>
    <x:row r="2" ht="54" customHeight="1">
      <x:c r="A2" s="28" t="n">
        <x:v>1</x:v>
      </x:c>
      <x:c r="B2" s="28" t="str">
        <x:v>SRC-01</x:v>
      </x:c>
      <x:c r="C2" s="28" t="str">
        <x:v>Internal</x:v>
      </x:c>
      <x:c r="D2" s="28" t="str">
        <x:v>Danh mục dịch vụ Nhóm 09</x:v>
      </x:c>
      <x:c r="E2" s="28" t="str">
        <x:v>Nhóm 09(20260911-012305).xlsx</x:v>
      </x:c>
      <x:c r="F2" s="28" t="str">
        <x:v>Service ID S0283, tên dịch vụ, ngành và nhóm dịch vụ.</x:v>
      </x:c>
      <x:c r="G2" s="28" t="str">
        <x:v>Cao</x:v>
      </x:c>
      <x:c r="H2" s="28" t="str">
        <x:v>Internal</x:v>
      </x:c>
      <x:c r="I2" s="28" t="str">
        <x:v>Nguồn nội bộ; không cung cấp phương pháp hoặc giá.</x:v>
      </x:c>
    </x:row>
    <x:row r="3" ht="54" customHeight="1">
      <x:c r="A3" s="28" t="n">
        <x:v>2</x:v>
      </x:c>
      <x:c r="B3" s="28" t="str">
        <x:v>SRC-02</x:v>
      </x:c>
      <x:c r="C3" s="28" t="str">
        <x:v>Official</x:v>
      </x:c>
      <x:c r="D3" s="28" t="str">
        <x:v>USGS Landsat NDVI</x:v>
      </x:c>
      <x:c r="E3" s="28" t="str">
        <x:v>https://www.usgs.gov/landsat-missions/landsat-normalized-difference-vegetation-index</x:v>
      </x:c>
      <x:c r="F3" s="28" t="str">
        <x:v>Định nghĩa/công thức NDVI và ý nghĩa theo dõi độ xanh.</x:v>
      </x:c>
      <x:c r="G3" s="28" t="str">
        <x:v>Cao</x:v>
      </x:c>
      <x:c r="H3" s="28" t="str">
        <x:v>Public</x:v>
      </x:c>
      <x:c r="I3" s="28" t="str">
        <x:v>Truy cập 2026-09-11.</x:v>
      </x:c>
    </x:row>
    <x:row r="4" ht="54" customHeight="1">
      <x:c r="A4" s="28" t="n">
        <x:v>3</x:v>
      </x:c>
      <x:c r="B4" s="28" t="str">
        <x:v>SRC-03</x:v>
      </x:c>
      <x:c r="C4" s="28" t="str">
        <x:v>Vendor</x:v>
      </x:c>
      <x:c r="D4" s="28" t="str">
        <x:v>DJI Mavic 3 Multispectral</x:v>
      </x:c>
      <x:c r="E4" s="28" t="str">
        <x:v>https://www.dji.com/mavic-3-m</x:v>
      </x:c>
      <x:c r="F4" s="28" t="str">
        <x:v>Cấu hình UAV đa phổ, RGB, RTK và ứng dụng lập bản đồ.</x:v>
      </x:c>
      <x:c r="G4" s="28" t="str">
        <x:v>Trung bình</x:v>
      </x:c>
      <x:c r="H4" s="28" t="str">
        <x:v>Public</x:v>
      </x:c>
      <x:c r="I4" s="28" t="str">
        <x:v>Thông số vendor; cần xác nhận model và giá tại Việt Nam.</x:v>
      </x:c>
    </x:row>
    <x:row r="5" ht="54" customHeight="1">
      <x:c r="A5" s="28" t="n">
        <x:v>4</x:v>
      </x:c>
      <x:c r="B5" s="28" t="str">
        <x:v>SRC-04</x:v>
      </x:c>
      <x:c r="C5" s="28" t="str">
        <x:v>Vendor</x:v>
      </x:c>
      <x:c r="D5" s="28" t="str">
        <x:v>PIX4D pricing</x:v>
      </x:c>
      <x:c r="E5" s="28" t="str">
        <x:v>https://www.pix4d.com/pricing/</x:v>
      </x:c>
      <x:c r="F5" s="28" t="str">
        <x:v>PIX4Dfields từ USD111/tháng; mapper từ USD333/tháng; chức năng xử lý ảnh UAV.</x:v>
      </x:c>
      <x:c r="G5" s="28" t="str">
        <x:v>Cao</x:v>
      </x:c>
      <x:c r="H5" s="28" t="str">
        <x:v>Public</x:v>
      </x:c>
      <x:c r="I5" s="28" t="str">
        <x:v>Giá công khai; truy cập 2026-09-11; chưa gồm thuế/tỷ giá.</x:v>
      </x:c>
    </x:row>
    <x:row r="6" ht="54" customHeight="1">
      <x:c r="A6" s="28" t="n">
        <x:v>5</x:v>
      </x:c>
      <x:c r="B6" s="28" t="str">
        <x:v>SRC-05</x:v>
      </x:c>
      <x:c r="C6" s="28" t="str">
        <x:v>Vendor</x:v>
      </x:c>
      <x:c r="D6" s="28" t="str">
        <x:v>DroneDeploy pricing</x:v>
      </x:c>
      <x:c r="E6" s="28" t="str">
        <x:v>https://www.dronedeploy.com/pricing</x:v>
      </x:c>
      <x:c r="F6" s="28" t="str">
        <x:v>Ag Lite USD1,908/năm; Individual Pilot USD4,188/năm; giới hạn ảnh và tính năng.</x:v>
      </x:c>
      <x:c r="G6" s="28" t="str">
        <x:v>Cao</x:v>
      </x:c>
      <x:c r="H6" s="28" t="str">
        <x:v>Public</x:v>
      </x:c>
      <x:c r="I6" s="28" t="str">
        <x:v>PROXY phần mềm quốc tế; truy cập 2026-09-11.</x:v>
      </x:c>
    </x:row>
    <x:row r="7" ht="54" customHeight="1">
      <x:c r="A7" s="28" t="n">
        <x:v>6</x:v>
      </x:c>
      <x:c r="B7" s="28" t="str">
        <x:v>SRC-06</x:v>
      </x:c>
      <x:c r="C7" s="28" t="str">
        <x:v>Research</x:v>
      </x:c>
      <x:c r="D7" s="28" t="str">
        <x:v>At-Sensor Radiometric Correction of a Multispectral Camera</x:v>
      </x:c>
      <x:c r="E7" s="28" t="str">
        <x:v>https://pmc.ncbi.nlm.nih.gov/articles/PMC8402082/</x:v>
      </x:c>
      <x:c r="F7" s="28" t="str">
        <x:v>Cơ sở hiệu chỉnh bức xạ ảnh đa phổ và ảnh hưởng điều kiện chiếu sáng.</x:v>
      </x:c>
      <x:c r="G7" s="28" t="str">
        <x:v>Cao</x:v>
      </x:c>
      <x:c r="H7" s="28" t="str">
        <x:v>Public</x:v>
      </x:c>
      <x:c r="I7" s="28" t="str">
        <x:v>Nghiên cứu bình duyệt.</x:v>
      </x:c>
    </x:row>
    <x:row r="8" ht="54" customHeight="1">
      <x:c r="A8" s="28" t="n">
        <x:v>7</x:v>
      </x:c>
      <x:c r="B8" s="28" t="str">
        <x:v>SRC-07</x:v>
      </x:c>
      <x:c r="C8" s="28" t="str">
        <x:v>Research</x:v>
      </x:c>
      <x:c r="D8" s="28" t="str">
        <x:v>Multi-temporal image co-registration of UAV blocks</x:v>
      </x:c>
      <x:c r="E8" s="28" t="str">
        <x:v>https://isprs-archives.copernicus.org/articles/XLIII-B2-2021/9/2021/</x:v>
      </x:c>
      <x:c r="F8" s="28" t="str">
        <x:v>Tầm quan trọng của đồng đăng ký khảo sát UAV đa thời gian, kể cả RTK.</x:v>
      </x:c>
      <x:c r="G8" s="28" t="str">
        <x:v>Cao</x:v>
      </x:c>
      <x:c r="H8" s="28" t="str">
        <x:v>Public</x:v>
      </x:c>
      <x:c r="I8" s="28" t="str">
        <x:v>Nghiên cứu ISPRS.</x:v>
      </x:c>
    </x:row>
    <x:row r="9" ht="54" customHeight="1">
      <x:c r="A9" s="28" t="n">
        <x:v>8</x:v>
      </x:c>
      <x:c r="B9" s="28" t="str">
        <x:v>SRC-08</x:v>
      </x:c>
      <x:c r="C9" s="28" t="str">
        <x:v>Official</x:v>
      </x:c>
      <x:c r="D9" s="28" t="str">
        <x:v>Cổng TTĐT Chính phủ – quản lý/cấp phép flycam</x:v>
      </x:c>
      <x:c r="E9" s="28" t="str">
        <x:v>https://media.chinhphu.vn/video/truoc-1-7-2026-bo-quoc-phong-van-cap-phep-bay-cho-flycam-21580.htm</x:v>
      </x:c>
      <x:c r="F9" s="28" t="str">
        <x:v>Mốc chuyển tiếp pháp lý UAV; yêu cầu rà soát quy định hiện hành tại ngày bay.</x:v>
      </x:c>
      <x:c r="G9" s="28" t="str">
        <x:v>Cao</x:v>
      </x:c>
      <x:c r="H9" s="28" t="str">
        <x:v>Public</x:v>
      </x:c>
      <x:c r="I9" s="28" t="str">
        <x:v>Nội dung trước mốc 01/07/2026; thủ tục hiện tại cần xác minh.</x:v>
      </x:c>
    </x:row>
    <x:row r="10" ht="54" customHeight="1">
      <x:c r="A10" s="28" t="n">
        <x:v>9</x:v>
      </x:c>
      <x:c r="B10" s="28" t="str">
        <x:v>SRC-09</x:v>
      </x:c>
      <x:c r="C10" s="28" t="str">
        <x:v>Other</x:v>
      </x:c>
      <x:c r="D10" s="28" t="str">
        <x:v>The Drone U – Drone service cost 2026</x:v>
      </x:c>
      <x:c r="E10" s="28" t="str">
        <x:v>https://www.thedroneu.com/blog/drone-services-pricing/</x:v>
      </x:c>
      <x:c r="F10" s="28" t="str">
        <x:v>PROXY quốc tế: mapping khoảng USD5–20/acre; giờ bay USD150–700.</x:v>
      </x:c>
      <x:c r="G10" s="28" t="str">
        <x:v>Thấp</x:v>
      </x:c>
      <x:c r="H10" s="28" t="str">
        <x:v>Public</x:v>
      </x:c>
      <x:c r="I10" s="28" t="str">
        <x:v>LOW/PROXY; khác thị trường và scope.</x:v>
      </x:c>
    </x:row>
    <x:row r="11" ht="54" customHeight="1">
      <x:c r="A11" s="28" t="n">
        <x:v>10</x:v>
      </x:c>
      <x:c r="B11" s="28" t="str">
        <x:v>SRC-10</x:v>
      </x:c>
      <x:c r="C11" s="28" t="str">
        <x:v>Vendor</x:v>
      </x:c>
      <x:c r="D11" s="28" t="str">
        <x:v>SkyeBrowse – Drone mapping cost guide</x:v>
      </x:c>
      <x:c r="E11" s="28" t="str">
        <x:v>https://www.skyebrowse.com/blog/drone-mapping-services-cost</x:v>
      </x:c>
      <x:c r="F11" s="28" t="str">
        <x:v>PROXY quốc tế: dự án mapping thường USD300–3,500 tùy quy mô/phức tạp.</x:v>
      </x:c>
      <x:c r="G11" s="28" t="str">
        <x:v>Trung bình</x:v>
      </x:c>
      <x:c r="H11" s="28" t="str">
        <x:v>Public</x:v>
      </x:c>
      <x:c r="I11" s="28" t="str">
        <x:v>LOW/PROXY; không phải monitoring đa phổ 1:1.</x:v>
      </x:c>
    </x:row>
    <x:row r="12" ht="54" customHeight="1">
      <x:c r="A12" s="28" t="n">
        <x:v>11</x:v>
      </x:c>
      <x:c r="B12" s="28" t="str">
        <x:v>SRC-11</x:v>
      </x:c>
      <x:c r="C12" s="28" t="str">
        <x:v>Other</x:v>
      </x:c>
      <x:c r="D12" s="28" t="str">
        <x:v>AgriFly Vietnam – giá dịch vụ drone nông nghiệp</x:v>
      </x:c>
      <x:c r="E12" s="28" t="str">
        <x:v>https://www.facebook.com/agriflyvietnam/</x:v>
      </x:c>
      <x:c r="F12" s="28" t="str">
        <x:v>PROXY Việt Nam: dịch vụ phun drone được nêu khoảng 250–400 nghìn VNĐ/ha.</x:v>
      </x:c>
      <x:c r="G12" s="28" t="str">
        <x:v>Thấp</x:v>
      </x:c>
      <x:c r="H12" s="28" t="str">
        <x:v>Public</x:v>
      </x:c>
      <x:c r="I12" s="28" t="str">
        <x:v>LOW/PROXY; phun, không phải mapping/monitoring.</x:v>
      </x:c>
    </x:row>
    <x:row r="13" ht="54" customHeight="1">
      <x:c r="A13" s="28" t="n">
        <x:v>12</x:v>
      </x:c>
      <x:c r="B13" s="28" t="str">
        <x:v>SRC-12</x:v>
      </x:c>
      <x:c r="C13" s="28" t="str">
        <x:v>Other</x:v>
      </x:c>
      <x:c r="D13" s="28" t="str">
        <x:v>SalaryExpert – GIS Specialist Vietnam 2026</x:v>
      </x:c>
      <x:c r="E13" s="28" t="str">
        <x:v>https://www.salaryexpert.com/salary/job/gis-specialist/vietnam</x:v>
      </x:c>
      <x:c r="F13" s="28" t="str">
        <x:v>Benchmark lương GIS gross trung bình khoảng 377,6 triệu VNĐ/năm.</x:v>
      </x:c>
      <x:c r="G13" s="28" t="str">
        <x:v>Trung bình</x:v>
      </x:c>
      <x:c r="H13" s="28" t="str">
        <x:v>Public</x:v>
      </x:c>
      <x:c r="I13" s="28" t="str">
        <x:v>Dùng làm anchor nhân sự; loaded cost/day còn là giả định.</x:v>
      </x:c>
    </x:row>
  </x:sheetData>
  <x:pageMargins left="0.7" right="0.7" top="0.75" bottom="0.75" header="0.3" footer="0.3"/>
</x:worksheet>
</file>